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than\Documents\6-DOF-Arm\"/>
    </mc:Choice>
  </mc:AlternateContent>
  <xr:revisionPtr revIDLastSave="0" documentId="13_ncr:1_{A51FE0C9-5646-4EA1-A0B4-0A429005DA42}" xr6:coauthVersionLast="47" xr6:coauthVersionMax="47" xr10:uidLastSave="{00000000-0000-0000-0000-000000000000}"/>
  <bookViews>
    <workbookView xWindow="-108" yWindow="-108" windowWidth="30936" windowHeight="16776" tabRatio="500" xr2:uid="{00000000-000D-0000-FFFF-FFFF00000000}"/>
  </bookViews>
  <sheets>
    <sheet name="Torque Budget" sheetId="1" r:id="rId1"/>
    <sheet name="Timeline" sheetId="2" r:id="rId2"/>
    <sheet name="BOM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78" i="3" l="1"/>
  <c r="K77" i="3"/>
  <c r="K76" i="3"/>
  <c r="K74" i="3"/>
  <c r="B39" i="1"/>
  <c r="B38" i="1"/>
  <c r="K73" i="3" l="1"/>
  <c r="K54" i="3"/>
  <c r="K55" i="3"/>
  <c r="K49" i="3"/>
  <c r="K52" i="3"/>
  <c r="K51" i="3"/>
  <c r="K48" i="3"/>
  <c r="K46" i="3"/>
  <c r="K45" i="3"/>
  <c r="K44" i="3"/>
  <c r="K42" i="3"/>
  <c r="K14" i="3"/>
  <c r="K10" i="3"/>
  <c r="K9" i="3"/>
  <c r="K25" i="3"/>
  <c r="K22" i="3"/>
  <c r="K21" i="3"/>
  <c r="K15" i="3"/>
  <c r="K16" i="3"/>
  <c r="K18" i="3"/>
  <c r="K19" i="3"/>
  <c r="K12" i="3"/>
  <c r="K4" i="3"/>
  <c r="K7" i="3"/>
  <c r="K6" i="3"/>
  <c r="K5" i="3"/>
  <c r="E59" i="1"/>
  <c r="D59" i="1"/>
  <c r="C59" i="1"/>
  <c r="E58" i="1"/>
  <c r="D58" i="1"/>
  <c r="E57" i="1"/>
  <c r="D57" i="1"/>
  <c r="I56" i="1"/>
  <c r="H56" i="1"/>
  <c r="E56" i="1"/>
  <c r="D56" i="1"/>
  <c r="I55" i="1"/>
  <c r="H55" i="1"/>
  <c r="E55" i="1"/>
  <c r="D55" i="1"/>
  <c r="I54" i="1"/>
  <c r="H54" i="1"/>
  <c r="E54" i="1"/>
  <c r="D54" i="1"/>
  <c r="C54" i="1"/>
  <c r="F49" i="1"/>
  <c r="F48" i="1"/>
  <c r="E44" i="1"/>
  <c r="D44" i="1"/>
  <c r="B44" i="1"/>
  <c r="E43" i="1"/>
  <c r="D43" i="1"/>
  <c r="B43" i="1"/>
  <c r="E42" i="1"/>
  <c r="D42" i="1"/>
  <c r="B42" i="1"/>
  <c r="E41" i="1"/>
  <c r="D41" i="1"/>
  <c r="B41" i="1"/>
  <c r="G41" i="1" s="1"/>
  <c r="E40" i="1"/>
  <c r="D40" i="1"/>
  <c r="B40" i="1"/>
  <c r="D39" i="1"/>
  <c r="F39" i="1" s="1"/>
  <c r="D38" i="1"/>
  <c r="F38" i="1" s="1"/>
  <c r="B9" i="1"/>
  <c r="K41" i="3" l="1"/>
  <c r="F44" i="1"/>
  <c r="F40" i="1"/>
  <c r="F54" i="1"/>
  <c r="G54" i="1" s="1"/>
  <c r="F59" i="1"/>
  <c r="G59" i="1" s="1"/>
  <c r="G42" i="1"/>
  <c r="G43" i="1"/>
  <c r="K11" i="3"/>
  <c r="K3" i="3"/>
  <c r="F50" i="1"/>
  <c r="G44" i="1"/>
  <c r="B57" i="1"/>
  <c r="C57" i="1" s="1"/>
  <c r="F57" i="1" s="1"/>
  <c r="G57" i="1" s="1"/>
  <c r="B58" i="1"/>
  <c r="C58" i="1" s="1"/>
  <c r="F58" i="1" s="1"/>
  <c r="G58" i="1" s="1"/>
  <c r="G40" i="1"/>
  <c r="F42" i="1"/>
  <c r="F41" i="1"/>
  <c r="F43" i="1"/>
  <c r="G45" i="1" l="1"/>
  <c r="B56" i="1" s="1"/>
  <c r="C56" i="1" s="1"/>
  <c r="F56" i="1" s="1"/>
  <c r="G56" i="1" s="1"/>
  <c r="F45" i="1"/>
  <c r="B55" i="1" s="1"/>
  <c r="C55" i="1" s="1"/>
  <c r="F55" i="1" s="1"/>
  <c r="G55" i="1" s="1"/>
  <c r="K2" i="3"/>
</calcChain>
</file>

<file path=xl/sharedStrings.xml><?xml version="1.0" encoding="utf-8"?>
<sst xmlns="http://schemas.openxmlformats.org/spreadsheetml/2006/main" count="407" uniqueCount="325">
  <si>
    <t>6-DoF Arm — Gravity Torque Budget v2 (elbow-mounted forearm roll)</t>
  </si>
  <si>
    <t>Joint order (base to tool): J1 yaw·z, J2 shoulder pitch·x, J3 elbow pitch·x, J4 forearm roll·y AT ELBOW, J5 wrist pitch·x, J6 tool roll·y. Blue cells = inputs. Worst case: arm horizontal.</t>
  </si>
  <si>
    <t>GEOMETRY  (total reach = shoulder pitch axis to tool center point)</t>
  </si>
  <si>
    <t>L1 — upper arm (shoulder pitch to elbow pitch axis)</t>
  </si>
  <si>
    <t>m</t>
  </si>
  <si>
    <t>L2 — forearm (elbow pitch to wrist pitch axis)</t>
  </si>
  <si>
    <t>L3 — wrist pitch axis to TCP</t>
  </si>
  <si>
    <t>Payload CG assumed at TCP</t>
  </si>
  <si>
    <t>d4 — J4 roll actuator CG offset distal of elbow</t>
  </si>
  <si>
    <t>How far past the elbow pitch axis the J4 motor sits</t>
  </si>
  <si>
    <t>Total reach</t>
  </si>
  <si>
    <t>Target: 0.400 m as decided</t>
  </si>
  <si>
    <t>MASSES</t>
  </si>
  <si>
    <t>J3 elbow pitch actuator (mj5208 + r4.11 + cycloidal)</t>
  </si>
  <si>
    <t>kg</t>
  </si>
  <si>
    <t>Body mounted on upper-arm side of the joint</t>
  </si>
  <si>
    <t>J4 forearm roll actuator (small motor + driver + housing)</t>
  </si>
  <si>
    <t>e.g. gimbal motor ~90 g + moteus-c1 ~9 g + printed reducer/housing</t>
  </si>
  <si>
    <t>Wrist cluster — J5 + J6 only (2 actuators + structure)</t>
  </si>
  <si>
    <t>Was 0.35 kg with a 3-axis wrist — this is the payoff of the move</t>
  </si>
  <si>
    <t>Gripper (actuator + jaws)</t>
  </si>
  <si>
    <t>Keep under ~0.2 kg</t>
  </si>
  <si>
    <t>Payload (design requirement)</t>
  </si>
  <si>
    <t>500 g spec</t>
  </si>
  <si>
    <t>Upper arm link (CF tube + clamps, CG at L1/2)</t>
  </si>
  <si>
    <t>Forearm link (CF tube + clamps, CG at L1 + L2/2)</t>
  </si>
  <si>
    <t>Slightly heavier in practice: it must carry the J4 rotating interface</t>
  </si>
  <si>
    <t>CONSTANTS &amp; DESIGN FACTORS</t>
  </si>
  <si>
    <t>Gravitational acceleration g</t>
  </si>
  <si>
    <t>m/s²</t>
  </si>
  <si>
    <t>Safety factor on continuous torque</t>
  </si>
  <si>
    <t>Covers cycloidal friction variation, print quality, dynamic loads while carrying payload</t>
  </si>
  <si>
    <t>ACTUATOR PARAMETERS</t>
  </si>
  <si>
    <t>mj5208 continuous torque</t>
  </si>
  <si>
    <t>Nm</t>
  </si>
  <si>
    <t>Your figure, w/ heat spreader @ 24 V. Verify at thermal steady state on the bench.</t>
  </si>
  <si>
    <t>mj5208 peak torque</t>
  </si>
  <si>
    <t>mjbots spec; transient only</t>
  </si>
  <si>
    <t>mj5208 speed at continuous rating</t>
  </si>
  <si>
    <t>rpm</t>
  </si>
  <si>
    <t>No-load speed is much higher; peak joint speed exceeds this</t>
  </si>
  <si>
    <t>Cycloidal gearbox efficiency</t>
  </si>
  <si>
    <t>-</t>
  </si>
  <si>
    <t>ASSUMPTION — printed cycloidals range ~0.60–0.90. Measure and update.</t>
  </si>
  <si>
    <t>Gear ratio — J1 base yaw</t>
  </si>
  <si>
    <t>:1</t>
  </si>
  <si>
    <t>Gravity load ~0; existing 15:1 design is fine</t>
  </si>
  <si>
    <t>Gear ratio — J2 shoulder pitch</t>
  </si>
  <si>
    <t>15:1 fails the budget below even with the lighter wrist</t>
  </si>
  <si>
    <t>Gear ratio — J3 elbow pitch</t>
  </si>
  <si>
    <t>Existing 15:1 design</t>
  </si>
  <si>
    <t>Small motor continuous torque (J4–J6)</t>
  </si>
  <si>
    <t>e.g. GM4108-class gimbal + moteus-c1. Edit if using a smart servo instead.</t>
  </si>
  <si>
    <t>Small motor gear ratio (J4–J6)</t>
  </si>
  <si>
    <t>Printed planetary; J4 wants a hollow bore or belt offset for wiring</t>
  </si>
  <si>
    <t>Small motor gear efficiency</t>
  </si>
  <si>
    <t>COMPONENT GRAVITY TORQUES — ARM HORIZONTAL (worst case)</t>
  </si>
  <si>
    <t>Component</t>
  </si>
  <si>
    <t>Mass (kg)</t>
  </si>
  <si>
    <t>CG dist from shoulder (m)</t>
  </si>
  <si>
    <t>CG dist from elbow (m)</t>
  </si>
  <si>
    <t>τ about shoulder (Nm)</t>
  </si>
  <si>
    <t>τ about elbow (Nm)</t>
  </si>
  <si>
    <t>Upper arm link</t>
  </si>
  <si>
    <t>—</t>
  </si>
  <si>
    <t>J3 elbow pitch actuator</t>
  </si>
  <si>
    <t>J4 forearm roll actuator (at elbow)</t>
  </si>
  <si>
    <t>Forearm link</t>
  </si>
  <si>
    <t>Wrist cluster (J5 + J6)</t>
  </si>
  <si>
    <t>Gripper</t>
  </si>
  <si>
    <t>Payload @ TCP</t>
  </si>
  <si>
    <t>TOTAL static gravity torque</t>
  </si>
  <si>
    <t>DISTAL AXIS GRAVITY TORQUES</t>
  </si>
  <si>
    <t>Gripper about wrist pitch axis (CG at L3/2)</t>
  </si>
  <si>
    <t>Payload about wrist pitch axis (at L3)</t>
  </si>
  <si>
    <t>TOTAL — J5 wrist pitch requirement</t>
  </si>
  <si>
    <t>J4 forearm roll sees the SAME worst case: with the wrist pitched 90°, the gripper + payload hang off the roll axis on the same lever arms</t>
  </si>
  <si>
    <t>JOINT SIZING SUMMARY</t>
  </si>
  <si>
    <t>Joint</t>
  </si>
  <si>
    <t>Required cont. τ (Nm)</t>
  </si>
  <si>
    <t>Req. × SF (Nm)</t>
  </si>
  <si>
    <t>Ratio</t>
  </si>
  <si>
    <t>Available cont. τ (Nm)</t>
  </si>
  <si>
    <t>Margin (avail / req×SF)</t>
  </si>
  <si>
    <t>Status</t>
  </si>
  <si>
    <t>Peak τ avail (Nm)</t>
  </si>
  <si>
    <t>Output speed (°/s)</t>
  </si>
  <si>
    <t>J1 base yaw · z (mj5208)</t>
  </si>
  <si>
    <t>J2 shoulder pitch · x (mj5208)</t>
  </si>
  <si>
    <t>J3 elbow pitch · x (mj5208)</t>
  </si>
  <si>
    <t>J4 forearm roll · y (small motor)</t>
  </si>
  <si>
    <t>J5 wrist pitch · x (small motor)</t>
  </si>
  <si>
    <t>J6 tool roll · y (small motor)</t>
  </si>
  <si>
    <t>Notes:</t>
  </si>
  <si>
    <t>• J1 required torque is an input: it carries ~zero gravity torque and is sized by friction + acceleration of full-arm inertia.</t>
  </si>
  <si>
    <t>• J6 required torque is an input: gravity torque about the tool roll axis is only the payload CG offset from that axis; sized mainly for grasp disturbances.</t>
  </si>
  <si>
    <t>• J4 worst case = wrist pitched 90° with payload (same lever arms as J5), so both use the same requirement and actuator for commonality.</t>
  </si>
  <si>
    <t>• vs the 3-axis-wrist version: shoulder requirement drops ~0.2 Nm and elbow ~0.15 Nm from moving one actuator's mass off the forearm tip.</t>
  </si>
  <si>
    <t>• Route wiring for J5/J6/gripper through or past J4: limit J4 travel (±~270°) with a cable service loop, or design a hollow-bore reducer. No slip rings.</t>
  </si>
  <si>
    <t>• After the single-joint bench test, replace the 0.80 cycloidal efficiency assumption with the measured value.</t>
  </si>
  <si>
    <t>Build Timeline — 6-DoF Arm for ML/RL Experiments (v2 architecture)</t>
  </si>
  <si>
    <t>Assumes evenings/weekends pace alongside full-time work. Phases overlap deliberately — order long-lead parts early. Durations are estimates; the exit criterion is what matters.</t>
  </si>
  <si>
    <t>#</t>
  </si>
  <si>
    <t>Phase</t>
  </si>
  <si>
    <t>Weeks</t>
  </si>
  <si>
    <t>Key tasks &amp; exit criteria</t>
  </si>
  <si>
    <t>Notes</t>
  </si>
  <si>
    <t>Recommendations</t>
  </si>
  <si>
    <t>1</t>
  </si>
  <si>
    <t>Finalize budget &amp; architecture</t>
  </si>
  <si>
    <t>1–2</t>
  </si>
  <si>
    <t>Fill this workbook with real masses; lock reach (400 mm), z-x-x-y-x-y joint layout, J2 ratio, J4–J6 actuator choice. Exit: every joint row reads PASS.</t>
  </si>
  <si>
    <t>J4 and J5 share a requirement (~0.45 Nm) — use the identical actuator + reducer for both, and ideally J6 too, for spare-parts commonality.</t>
  </si>
  <si>
    <t>Order long-lead parts NOW: mj5208s, r4.11s, heat spreaders, CAN-FD USB adapter, CF tube, bearings, small motors + moteus-c1s. Shipping is your critical path.</t>
  </si>
  <si>
    <t>2</t>
  </si>
  <si>
    <t>Single-joint bench test (mj5208 + 15:1 cycloidal)</t>
  </si>
  <si>
    <t>2–3</t>
  </si>
  <si>
    <t>Rig one joint with a weighted lever. Measure: continuous torque at thermal steady state (20+ min hold, log winding temp via moteus telemetry), gearbox efficiency, backlash, friction. Exit: measured values entered into the Torque Budget sheet.</t>
  </si>
  <si>
    <t>Validates the two biggest assumptions (0.3 Nm continuous, 0.80 efficiency). Printed cycloidal efficiency varies 0.60–0.90 with print quality and grease.</t>
  </si>
  <si>
    <t>Log via moteus telemetry — the same friction/backlash data becomes your sim parameters later. Compare PETG vs PLA cycloidal discs for wear while you're at it.</t>
  </si>
  <si>
    <t>3</t>
  </si>
  <si>
    <t>J4 roll joint + wrist prototype</t>
  </si>
  <si>
    <t>3–5</t>
  </si>
  <si>
    <t>Build the J4 forearm roll joint first — it's the novel one: small motor + moteus-c1 + hollow-bore (or belt-offset) reducer, with the distal wiring harness passing through. Then the 2-axis wrist. Exit: J4 holds 0.45 Nm with wiring routed and ±270° travel limits set; wrist cluster weighed at ≤ budget.</t>
  </si>
  <si>
    <t>The rotating wire pass-through is the highest-risk detail of this architecture. Prove it before committing to the forearm design. Set voltage_mode_control if gimbal current-sense torque is noisy.</t>
  </si>
  <si>
    <t>Give the harness a generous helical service loop through the J4 bore and enforce soft travel limits in moteus config. If J4 drags on, fall back to a smart-servo wrist and add the roll later.</t>
  </si>
  <si>
    <t>4</t>
  </si>
  <si>
    <t>Full arm CAD</t>
  </si>
  <si>
    <t>4–7</t>
  </si>
  <si>
    <t>Model complete arm incl. the J4 rotating interface, wiring routes, controller mounting, service loops. Pull mass properties into the Torque Budget sheet and iterate. Exit: budget still PASS with CAD masses + 10% contingency.</t>
  </si>
  <si>
    <t>Split-clamp CF tube fittings (bolted, not glued) let you change link lengths after testing. Bearings, not printed bores, on all moment-loaded interfaces — especially the J4 output, which sees the full forearm bending moment.</t>
  </si>
  <si>
    <t>Design so J4, J5, J6 axes intersect at one wrist-center point — that preserves closed-form IK (Pieper's condition). Add joint hard-stops so a runaway policy can't self-collide at full torque.</t>
  </si>
  <si>
    <t>5</t>
  </si>
  <si>
    <t>Electronics &amp; power integration</t>
  </si>
  <si>
    <t>6–8</t>
  </si>
  <si>
    <t>24 V PSU (~10–15 A), power distribution, daisy-chained CAN-FD through all 6 controllers + gripper, termination, physical e-stop cutting motor power. Exit: all nodes enumerate; 100 Hz command/telemetry loop stable from Jetson or PC.</t>
  </si>
  <si>
    <t>One mjcanfd-usb-1x handles the whole chain — r4.11 and c1 share the same bus, firmware, and API. Keep Jetson logic power separate from motor power.</t>
  </si>
  <si>
    <t>Add a bus voltage monitor: regen from decelerating joints pumps the rail up. Configure moteus flux braking before the first fast motion.</t>
  </si>
  <si>
    <t>6</t>
  </si>
  <si>
    <t>Fabrication &amp; assembly</t>
  </si>
  <si>
    <t>7–9</t>
  </si>
  <si>
    <t>Print structure (PETG for structural/heat-adjacent parts), cut tubes, assemble, torque-check fasteners. Exit: arm holds a static pose under closed-loop control without thermal throttling.</t>
  </si>
  <si>
    <t>Expect 2–3 reprints of joint housings; that's normal. Anneal or thicken parts near motor heat spreaders.</t>
  </si>
  <si>
    <t>Assemble and test joint-by-joint from the base up — much easier to isolate mechanical vs firmware issues.</t>
  </si>
  <si>
    <t>7</t>
  </si>
  <si>
    <t>Calibration &amp; controller tuning</t>
  </si>
  <si>
    <t>8–10</t>
  </si>
  <si>
    <t>Per-joint encoder calibration, direction/limit config, position + velocity + torque tuning, gravity compensation feedforward from this sheet's mass model. Exit: arm tracks smooth trajectories with 500 g payload, no overheating over a 15-min cycle.</t>
  </si>
  <si>
    <t>Gravity comp is nearly free — the mass/CG model is already in the Torque Budget sheet. It dramatically improves teleop feel and cuts steady-state heating.</t>
  </si>
  <si>
    <t>Add output-side AS5047 encoders (r4.11 aux SPI) on J2/J3 if cycloidal backlash exceeds ~0.5° — joint-side truth matters for RL state.</t>
  </si>
  <si>
    <t>8</t>
  </si>
  <si>
    <t>Software: driver + LeRobot integration</t>
  </si>
  <si>
    <t>9–11</t>
  </si>
  <si>
    <t>Python moteus driver wrapped in a LeRobot robot class; camera integration; teleop (leader arm, spacemouse, or keyboard). Exit: record a LeRobot dataset end-to-end with synced camera + joint states.</t>
  </si>
  <si>
    <t>You've already debugged the hard parts on the YAM arm — record-loop FPS, camera sync, and rerun latency lessons transfer directly.</t>
  </si>
  <si>
    <t>Run policy/teleop at 30–50 Hz; let moteus onboard loops handle high-rate control. Keep camera reads asynchronous from the record loop from day one this time.</t>
  </si>
  <si>
    <t>9</t>
  </si>
  <si>
    <t>Sim model &amp; system ID</t>
  </si>
  <si>
    <t>10–12</t>
  </si>
  <si>
    <t>Build URDF/MJCF from CAD; import to MuJoCo (and Isaac Lab for GPU sim); fit joint friction, damping, backlash from Phase 2/7 logs. Exit: sim joint step responses match hardware within ~10–15%.</t>
  </si>
  <si>
    <t>Printed cycloidal friction is the dominant sim-to-real gap — it's load-dependent, so fit at several torque levels. Note the wrist singularity at J5 = 0 (J4 and J6 axes align) — joint-space policies don't care, Cartesian teleop will.</t>
  </si>
  <si>
    <t>Export CAD with simplified collision meshes now; retrofitting them later is painful. Randomize friction/backlash in training rather than chasing a perfect fit.</t>
  </si>
  <si>
    <t>10</t>
  </si>
  <si>
    <t>First learning experiments</t>
  </si>
  <si>
    <t>12+</t>
  </si>
  <si>
    <t>Baseline tasks: reach, pick-place, peg-in-hole. Start with imitation learning (ACT/diffusion policy on teleop demos), then RL fine-tuning in sim.</t>
  </si>
  <si>
    <t>Train on the gaming PC (RAM/GPU matter for training); Jetson for deployment/inference only.</t>
  </si>
  <si>
    <t>Start with IL from ~50 teleop demos before any RL — it validates the whole platform with far less debugging surface than sim-to-real RL.</t>
  </si>
  <si>
    <t>Qty</t>
  </si>
  <si>
    <t>Item</t>
  </si>
  <si>
    <t>BOM Level</t>
  </si>
  <si>
    <t>moteus r4 heat spreader</t>
  </si>
  <si>
    <t>moteus r4.11 controller</t>
  </si>
  <si>
    <t>mj5208 brushless motor</t>
  </si>
  <si>
    <t>link</t>
  </si>
  <si>
    <t>moteus r4.11 developer kit</t>
  </si>
  <si>
    <t>Here</t>
  </si>
  <si>
    <t>Price per Unit</t>
  </si>
  <si>
    <t>Ordered On</t>
  </si>
  <si>
    <t>1.3.3</t>
  </si>
  <si>
    <t>J4, J5, J6</t>
  </si>
  <si>
    <t>moteus-c1 controller</t>
  </si>
  <si>
    <t>1.3.2</t>
  </si>
  <si>
    <t>SteadyWin GIM3505-8 planetary reducer motor</t>
  </si>
  <si>
    <t>1.3.1</t>
  </si>
  <si>
    <t>1.2.10</t>
  </si>
  <si>
    <t>1.2.9</t>
  </si>
  <si>
    <t>1.2.8</t>
  </si>
  <si>
    <t>1.2.7</t>
  </si>
  <si>
    <t>1.2.6</t>
  </si>
  <si>
    <t>1.2.5</t>
  </si>
  <si>
    <t>1.2.4</t>
  </si>
  <si>
    <t>1.2.3</t>
  </si>
  <si>
    <t>1.2.2</t>
  </si>
  <si>
    <t>1.2.1</t>
  </si>
  <si>
    <t>Cycloidal gearbox — 30:1 (J2 shoulder)</t>
  </si>
  <si>
    <t>1.2</t>
  </si>
  <si>
    <t>1.1.5</t>
  </si>
  <si>
    <t>One per mj5208 joint (J1–J3)</t>
  </si>
  <si>
    <t>1.1.4</t>
  </si>
  <si>
    <t>J3 motor + controller bundle</t>
  </si>
  <si>
    <t>1.1.3</t>
  </si>
  <si>
    <t>J1 &amp; J2</t>
  </si>
  <si>
    <t>1.1.2</t>
  </si>
  <si>
    <t>Drives J1 &amp; J2</t>
  </si>
  <si>
    <t>1.1.1</t>
  </si>
  <si>
    <t>Proximal joint actuation — J1–J3  (mj5208 + printed cycloidal)</t>
  </si>
  <si>
    <t>1.1</t>
  </si>
  <si>
    <t>6-DoF Robotic Arm</t>
  </si>
  <si>
    <t>Cycloidal gearbox — 15:1 (J1, J3)</t>
  </si>
  <si>
    <t xml:space="preserve">Roller Pin </t>
  </si>
  <si>
    <t xml:space="preserve">Roller/Output Bearings </t>
  </si>
  <si>
    <t>Camshaft Bearings</t>
  </si>
  <si>
    <t xml:space="preserve">Input/Output Flanged Bearings </t>
  </si>
  <si>
    <t>Shoulder bolts M5</t>
  </si>
  <si>
    <t xml:space="preserve">M5 Heat Set Threaded Inserts </t>
  </si>
  <si>
    <t xml:space="preserve">M2.5 Heat Set Threaded Inserts </t>
  </si>
  <si>
    <t>M5 Screw</t>
  </si>
  <si>
    <t>1.2.11</t>
  </si>
  <si>
    <t>1.2.12</t>
  </si>
  <si>
    <t>1.2.13</t>
  </si>
  <si>
    <t>M3 Screw</t>
  </si>
  <si>
    <t>1.2.14</t>
  </si>
  <si>
    <t>1.2.15</t>
  </si>
  <si>
    <t>1.2.16</t>
  </si>
  <si>
    <t>1.2.17</t>
  </si>
  <si>
    <t>1.2.18</t>
  </si>
  <si>
    <t>1.2.19</t>
  </si>
  <si>
    <t>1.2.20</t>
  </si>
  <si>
    <t>1.2.21</t>
  </si>
  <si>
    <t>Specifications</t>
  </si>
  <si>
    <t>1.2.22</t>
  </si>
  <si>
    <t>1.2.23</t>
  </si>
  <si>
    <t>3D Printed Parts</t>
  </si>
  <si>
    <t>Hex Shaft</t>
  </si>
  <si>
    <t>Price/Pack</t>
  </si>
  <si>
    <t>M5 x Ø10mm x 7mm (50 pcs)</t>
  </si>
  <si>
    <t>ID 50mm x OD 65mm x 7mm (2 pcs)</t>
  </si>
  <si>
    <t xml:space="preserve"> ID 15mm x OD 28mm x 7mm (8 pcs)</t>
  </si>
  <si>
    <t>ID 5mm x  OD 10mm x 4mm (30 pcs)</t>
  </si>
  <si>
    <t>Ø5mm x 30mm (50 pcs)</t>
  </si>
  <si>
    <t>M2.5 x Ø3.5mm x 4mm (100 pcs)</t>
  </si>
  <si>
    <t>M5x0.8 around 64mm in total length (4 pcs)</t>
  </si>
  <si>
    <t>M2.5 Screw</t>
  </si>
  <si>
    <t>1.2.24</t>
  </si>
  <si>
    <t>1.2.25</t>
  </si>
  <si>
    <t>5mm x 51mm (4 pcs 400mm in length each)</t>
  </si>
  <si>
    <t>M5x0.8 x 13mm length</t>
  </si>
  <si>
    <t>Already Have</t>
  </si>
  <si>
    <t xml:space="preserve">M2.5 x 4mm length </t>
  </si>
  <si>
    <t>Total Cost</t>
  </si>
  <si>
    <t>M2.5 Set Screw</t>
  </si>
  <si>
    <t>M2.5 x 4mm length (50 pieces)</t>
  </si>
  <si>
    <t>Shipping/Tax</t>
  </si>
  <si>
    <t># of Packs Ordered</t>
  </si>
  <si>
    <t>M3 x 4mm length (4)  6mm length (3)</t>
  </si>
  <si>
    <t>1.1.6</t>
  </si>
  <si>
    <t xml:space="preserve">M2.5 x Ø3.5mm x 4mm (100 pcs) </t>
  </si>
  <si>
    <t>Already Have from 30:1</t>
  </si>
  <si>
    <t>Already have from 30:1</t>
  </si>
  <si>
    <t>M5x0.8 x 10mm length</t>
  </si>
  <si>
    <t>30-Ouput Flange</t>
  </si>
  <si>
    <t>30-Input Flange</t>
  </si>
  <si>
    <t>30-Thin Spacer</t>
  </si>
  <si>
    <t>30-Thick Spacer</t>
  </si>
  <si>
    <t xml:space="preserve">30-Cycloidal Disk </t>
  </si>
  <si>
    <t xml:space="preserve">30-Eccentric Cam </t>
  </si>
  <si>
    <t>30-Centered Cam</t>
  </si>
  <si>
    <t>30-Input Cam</t>
  </si>
  <si>
    <t>30-Motor Housing</t>
  </si>
  <si>
    <t>30-Mid Wall</t>
  </si>
  <si>
    <t>30-Output Wall</t>
  </si>
  <si>
    <t>30-Coupler</t>
  </si>
  <si>
    <t>15-Ouput Flange</t>
  </si>
  <si>
    <t>15-Input Flange</t>
  </si>
  <si>
    <t>15-Thin Spacer</t>
  </si>
  <si>
    <t>15-Thick Spacer</t>
  </si>
  <si>
    <t xml:space="preserve">15-Cycloidal Disk </t>
  </si>
  <si>
    <t xml:space="preserve">15-Eccentric Cam </t>
  </si>
  <si>
    <t>15-Centered Cam</t>
  </si>
  <si>
    <t>15-Input Cam</t>
  </si>
  <si>
    <t>15-Motor Housing</t>
  </si>
  <si>
    <t>15-Mid Wall</t>
  </si>
  <si>
    <t>15-Output Wall</t>
  </si>
  <si>
    <t>15-Coupler</t>
  </si>
  <si>
    <t>6-DOF Robotic Arm</t>
  </si>
  <si>
    <t>5mm x 56mm (4 pcs 400mm in length each)</t>
  </si>
  <si>
    <t>M5x0.8 around 54mm in total length (4 pcs)
Purchase 3 packs for two 15:1 gearboxes</t>
  </si>
  <si>
    <t>ID 40mm x OD 52mm x 7mm (4 pcs)
Purchase 1 pack for two 15:1 gearboxes</t>
  </si>
  <si>
    <t>ID 5mm x  OD 10mm x 4mm (30 pcs)
Purchase 3 packs for two 15:1 gearboxes</t>
  </si>
  <si>
    <t>3D Printed Parts
Need to 2x prints for two 15:1 gearboxes</t>
  </si>
  <si>
    <t>1.3.4</t>
  </si>
  <si>
    <t>1.3.5</t>
  </si>
  <si>
    <t>1.3.6</t>
  </si>
  <si>
    <t>1.3.7</t>
  </si>
  <si>
    <t>1.3.8</t>
  </si>
  <si>
    <t>1.3.9</t>
  </si>
  <si>
    <t>1.3.10</t>
  </si>
  <si>
    <t>1.3.11</t>
  </si>
  <si>
    <t>1.3.12</t>
  </si>
  <si>
    <t>1.3.13</t>
  </si>
  <si>
    <t>1.3.14</t>
  </si>
  <si>
    <t>1.3.15</t>
  </si>
  <si>
    <t>1.3.16</t>
  </si>
  <si>
    <t>1.3.17</t>
  </si>
  <si>
    <t>1.3.18</t>
  </si>
  <si>
    <t>1.3.19</t>
  </si>
  <si>
    <t>1.3.20</t>
  </si>
  <si>
    <t>1.3.21</t>
  </si>
  <si>
    <t>1.3.22</t>
  </si>
  <si>
    <t>1.3.23</t>
  </si>
  <si>
    <t>1.3.24</t>
  </si>
  <si>
    <t>1.3.25</t>
  </si>
  <si>
    <t>3/3</t>
  </si>
  <si>
    <t>7/10/2026
8/3/2026</t>
  </si>
  <si>
    <t>1/1</t>
  </si>
  <si>
    <t>2/2</t>
  </si>
  <si>
    <t>1/3
2/3</t>
  </si>
  <si>
    <t xml:space="preserve"> ID 10mm x OD 15mm x 4mm (10 pcs)
Purchase 1 pack for two 15:1 gearboxes</t>
  </si>
  <si>
    <t>J4, J5, J6 (V1.0 with encoder)</t>
  </si>
  <si>
    <t>Misc</t>
  </si>
  <si>
    <t>https://www.amazon.com/gp/product/B017TFR664/ref=ox_sc_act_title_3?smid=AITZO53LNBA1K&amp;th=1</t>
  </si>
  <si>
    <t>https://www.amazon.com/gp/product/B0FRNLQZJC/ref=ox_sc_act_title_1?smid=AMQGUUYQT32RH&amp;psc=1</t>
  </si>
  <si>
    <t>https://www.amazon.com/Feggizuli-Connectors-Insulation-Automotive-Electrical/dp/B0B4NSMBTQ/ref=sr_1_4?crid=1QQRUJYCF8IIJ&amp;dib=eyJ2IjoiMSJ9.7JMFXnhOn4EQuI8k8n-MbFSgPqbHDePKJn1EA8NASIBQckj-XOGxBn5wPGUj5ntkQIKP4IVw3ahpaDhUVGwauEk7ikAED8XLtT_EnkKtB3ty_zBfNcrUpQEt7d7Q4nONtcxa5eDnSfLrWRhuW65u4ud42FPDvhrA-J5vyLfzxOuUFQYwFJx-B6eudAMc_6IqVdN4cTmJMB8AQVyQ8Y1X6E2DoyO9-ibVMdCs3kJ9Fos.GInOUC1CjDAXCpQns-V1SNgQFwaVARW5s-_8iPQIXgI&amp;dib_tag=se&amp;keywords=bullet%2Bconnectors%2Bfor%2Bwiring&amp;qid=1786647345&amp;sprefix=bullet%2Bconnectors%2Caps%2C127&amp;sr=8-4&amp;th=1</t>
  </si>
  <si>
    <t>15-camshaft_spacer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</si>
</sst>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0.000"/>
    <numFmt numFmtId="165" formatCode="0.0"/>
    <numFmt numFmtId="166" formatCode="_(\$* #,##0.00_);_(\$* \(#,##0.00\);_(\$* \-??_);_(@_)"/>
  </numFmts>
  <fonts count="19" x14ac:knownFonts="1">
    <font>
      <sz val="11"/>
      <color theme="1"/>
      <name val="Calibri"/>
      <family val="2"/>
      <charset val="1"/>
    </font>
    <font>
      <b/>
      <sz val="13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b/>
      <sz val="11"/>
      <color rgb="FFFFFFFF"/>
      <name val="Calibri"/>
      <charset val="1"/>
    </font>
    <font>
      <sz val="8"/>
      <name val="Calibri"/>
      <family val="2"/>
      <charset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0"/>
      <color rgb="FF0000FF"/>
      <name val="Arial"/>
      <family val="2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44546A"/>
        <bgColor rgb="FF595959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CCFFCC"/>
        <bgColor rgb="FFC6EFCE"/>
      </patternFill>
    </fill>
    <fill>
      <patternFill patternType="solid">
        <fgColor rgb="FFA9D08E"/>
        <bgColor rgb="FFBFBFBF"/>
      </patternFill>
    </fill>
    <fill>
      <patternFill patternType="solid">
        <fgColor rgb="FF548235"/>
        <bgColor rgb="FF339966"/>
      </patternFill>
    </fill>
    <fill>
      <patternFill patternType="solid">
        <fgColor theme="0" tint="-0.14999847407452621"/>
        <bgColor rgb="FFFFFFFF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/>
      <bottom/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/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/>
      <bottom/>
      <diagonal/>
    </border>
    <border>
      <left/>
      <right style="thin">
        <color rgb="FFB0B0B0"/>
      </right>
      <top/>
      <bottom/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/>
      <top/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</borders>
  <cellStyleXfs count="3">
    <xf numFmtId="0" fontId="0" fillId="0" borderId="0"/>
    <xf numFmtId="44" fontId="7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94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164" fontId="5" fillId="3" borderId="0" xfId="0" applyNumberFormat="1" applyFont="1" applyFill="1"/>
    <xf numFmtId="0" fontId="6" fillId="0" borderId="0" xfId="0" applyFont="1"/>
    <xf numFmtId="164" fontId="6" fillId="0" borderId="0" xfId="0" applyNumberFormat="1" applyFont="1"/>
    <xf numFmtId="2" fontId="5" fillId="0" borderId="0" xfId="0" applyNumberFormat="1" applyFont="1"/>
    <xf numFmtId="165" fontId="5" fillId="3" borderId="0" xfId="0" applyNumberFormat="1" applyFont="1" applyFill="1"/>
    <xf numFmtId="1" fontId="5" fillId="0" borderId="0" xfId="0" applyNumberFormat="1" applyFont="1"/>
    <xf numFmtId="2" fontId="5" fillId="3" borderId="0" xfId="0" applyNumberFormat="1" applyFont="1" applyFill="1"/>
    <xf numFmtId="1" fontId="5" fillId="3" borderId="0" xfId="0" applyNumberFormat="1" applyFont="1" applyFill="1"/>
    <xf numFmtId="0" fontId="6" fillId="4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6" fillId="5" borderId="1" xfId="0" applyFont="1" applyFill="1" applyBorder="1"/>
    <xf numFmtId="0" fontId="4" fillId="5" borderId="1" xfId="0" applyFont="1" applyFill="1" applyBorder="1"/>
    <xf numFmtId="2" fontId="6" fillId="5" borderId="1" xfId="0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6" fillId="5" borderId="0" xfId="0" applyFont="1" applyFill="1"/>
    <xf numFmtId="2" fontId="6" fillId="5" borderId="0" xfId="0" applyNumberFormat="1" applyFont="1" applyFill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10" fillId="0" borderId="0" xfId="0" applyFont="1"/>
    <xf numFmtId="166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left" vertical="center" indent="2"/>
    </xf>
    <xf numFmtId="166" fontId="9" fillId="7" borderId="2" xfId="0" applyNumberFormat="1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left" vertical="center" indent="1"/>
    </xf>
    <xf numFmtId="0" fontId="11" fillId="5" borderId="2" xfId="0" applyFont="1" applyFill="1" applyBorder="1" applyAlignment="1">
      <alignment horizontal="center" vertical="center"/>
    </xf>
    <xf numFmtId="14" fontId="10" fillId="5" borderId="2" xfId="0" applyNumberFormat="1" applyFont="1" applyFill="1" applyBorder="1" applyAlignment="1">
      <alignment horizontal="center" vertical="center"/>
    </xf>
    <xf numFmtId="14" fontId="9" fillId="7" borderId="2" xfId="0" applyNumberFormat="1" applyFont="1" applyFill="1" applyBorder="1" applyAlignment="1">
      <alignment horizontal="center" vertical="center"/>
    </xf>
    <xf numFmtId="166" fontId="12" fillId="8" borderId="2" xfId="0" applyNumberFormat="1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center" vertical="center"/>
    </xf>
    <xf numFmtId="0" fontId="12" fillId="8" borderId="2" xfId="0" applyFont="1" applyFill="1" applyBorder="1" applyAlignment="1">
      <alignment horizontal="left" vertical="center"/>
    </xf>
    <xf numFmtId="0" fontId="9" fillId="6" borderId="2" xfId="0" applyFont="1" applyFill="1" applyBorder="1" applyAlignment="1">
      <alignment horizontal="center" vertical="center"/>
    </xf>
    <xf numFmtId="166" fontId="8" fillId="5" borderId="2" xfId="2" applyNumberFormat="1" applyFill="1" applyBorder="1" applyAlignment="1">
      <alignment horizontal="center" vertical="center"/>
    </xf>
    <xf numFmtId="0" fontId="8" fillId="5" borderId="2" xfId="2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/>
    </xf>
    <xf numFmtId="0" fontId="14" fillId="0" borderId="0" xfId="0" applyFont="1"/>
    <xf numFmtId="0" fontId="15" fillId="6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left" vertical="center" indent="2"/>
    </xf>
    <xf numFmtId="44" fontId="10" fillId="5" borderId="2" xfId="1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4" fillId="5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/>
    </xf>
    <xf numFmtId="0" fontId="10" fillId="9" borderId="2" xfId="0" applyFont="1" applyFill="1" applyBorder="1" applyAlignment="1">
      <alignment horizontal="left" vertical="center" indent="2"/>
    </xf>
    <xf numFmtId="166" fontId="10" fillId="9" borderId="2" xfId="0" applyNumberFormat="1" applyFont="1" applyFill="1" applyBorder="1" applyAlignment="1">
      <alignment horizontal="center" vertical="center"/>
    </xf>
    <xf numFmtId="0" fontId="10" fillId="9" borderId="3" xfId="0" applyFont="1" applyFill="1" applyBorder="1" applyAlignment="1">
      <alignment vertical="center"/>
    </xf>
    <xf numFmtId="14" fontId="10" fillId="9" borderId="2" xfId="0" applyNumberFormat="1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49" fontId="14" fillId="5" borderId="2" xfId="0" applyNumberFormat="1" applyFont="1" applyFill="1" applyBorder="1" applyAlignment="1">
      <alignment horizontal="center" vertical="center"/>
    </xf>
    <xf numFmtId="14" fontId="14" fillId="5" borderId="2" xfId="0" applyNumberFormat="1" applyFont="1" applyFill="1" applyBorder="1" applyAlignment="1">
      <alignment horizontal="center" vertical="center" wrapText="1"/>
    </xf>
    <xf numFmtId="49" fontId="14" fillId="5" borderId="2" xfId="0" applyNumberFormat="1" applyFont="1" applyFill="1" applyBorder="1" applyAlignment="1">
      <alignment horizontal="center" vertical="center" wrapText="1"/>
    </xf>
    <xf numFmtId="14" fontId="14" fillId="5" borderId="2" xfId="0" applyNumberFormat="1" applyFont="1" applyFill="1" applyBorder="1" applyAlignment="1">
      <alignment horizontal="center" vertical="center"/>
    </xf>
    <xf numFmtId="1" fontId="17" fillId="0" borderId="0" xfId="0" applyNumberFormat="1" applyFont="1"/>
    <xf numFmtId="0" fontId="18" fillId="0" borderId="0" xfId="0" applyFont="1"/>
    <xf numFmtId="166" fontId="14" fillId="5" borderId="3" xfId="0" applyNumberFormat="1" applyFont="1" applyFill="1" applyBorder="1" applyAlignment="1">
      <alignment vertical="center" wrapText="1"/>
    </xf>
    <xf numFmtId="166" fontId="10" fillId="9" borderId="4" xfId="0" applyNumberFormat="1" applyFont="1" applyFill="1" applyBorder="1" applyAlignment="1">
      <alignment vertical="center" wrapText="1"/>
    </xf>
    <xf numFmtId="166" fontId="10" fillId="5" borderId="4" xfId="0" applyNumberFormat="1" applyFont="1" applyFill="1" applyBorder="1" applyAlignment="1">
      <alignment vertical="center" wrapText="1"/>
    </xf>
    <xf numFmtId="166" fontId="10" fillId="5" borderId="3" xfId="0" applyNumberFormat="1" applyFont="1" applyFill="1" applyBorder="1" applyAlignment="1">
      <alignment horizontal="center" vertical="center"/>
    </xf>
    <xf numFmtId="166" fontId="10" fillId="5" borderId="5" xfId="0" applyNumberFormat="1" applyFont="1" applyFill="1" applyBorder="1" applyAlignment="1">
      <alignment horizontal="center" vertical="center"/>
    </xf>
    <xf numFmtId="0" fontId="10" fillId="5" borderId="6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/>
    </xf>
    <xf numFmtId="0" fontId="14" fillId="5" borderId="6" xfId="0" applyFont="1" applyFill="1" applyBorder="1" applyAlignment="1">
      <alignment horizontal="center" vertical="center" wrapText="1"/>
    </xf>
    <xf numFmtId="166" fontId="14" fillId="5" borderId="3" xfId="0" applyNumberFormat="1" applyFont="1" applyFill="1" applyBorder="1" applyAlignment="1">
      <alignment horizontal="center" vertical="center" wrapText="1"/>
    </xf>
    <xf numFmtId="166" fontId="10" fillId="9" borderId="4" xfId="0" applyNumberFormat="1" applyFont="1" applyFill="1" applyBorder="1" applyAlignment="1">
      <alignment horizontal="center" vertical="center" wrapText="1"/>
    </xf>
    <xf numFmtId="166" fontId="10" fillId="5" borderId="4" xfId="0" applyNumberFormat="1" applyFont="1" applyFill="1" applyBorder="1" applyAlignment="1">
      <alignment horizontal="center" vertical="center" wrapText="1"/>
    </xf>
    <xf numFmtId="166" fontId="10" fillId="5" borderId="5" xfId="0" applyNumberFormat="1" applyFont="1" applyFill="1" applyBorder="1" applyAlignment="1">
      <alignment horizontal="center" vertical="center" wrapText="1"/>
    </xf>
    <xf numFmtId="0" fontId="8" fillId="5" borderId="3" xfId="2" applyFill="1" applyBorder="1" applyAlignment="1">
      <alignment horizontal="center" vertical="center"/>
    </xf>
    <xf numFmtId="0" fontId="8" fillId="5" borderId="5" xfId="2" applyFill="1" applyBorder="1" applyAlignment="1">
      <alignment horizontal="center" vertical="center"/>
    </xf>
    <xf numFmtId="14" fontId="10" fillId="5" borderId="3" xfId="0" applyNumberFormat="1" applyFont="1" applyFill="1" applyBorder="1" applyAlignment="1">
      <alignment horizontal="center" vertical="center"/>
    </xf>
    <xf numFmtId="14" fontId="10" fillId="5" borderId="5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166" fontId="10" fillId="9" borderId="4" xfId="0" applyNumberFormat="1" applyFont="1" applyFill="1" applyBorder="1" applyAlignment="1">
      <alignment horizontal="center" vertical="center"/>
    </xf>
    <xf numFmtId="166" fontId="10" fillId="5" borderId="4" xfId="0" applyNumberFormat="1" applyFont="1" applyFill="1" applyBorder="1" applyAlignment="1">
      <alignment horizontal="center" vertical="center"/>
    </xf>
    <xf numFmtId="0" fontId="3" fillId="2" borderId="0" xfId="0" applyFont="1" applyFill="1"/>
  </cellXfs>
  <cellStyles count="3">
    <cellStyle name="Currency" xfId="1" builtinId="4"/>
    <cellStyle name="Hyperlink" xfId="2" builtinId="8"/>
    <cellStyle name="Normal" xfId="0" builtinId="0"/>
  </cellStyles>
  <dxfs count="3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44546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CFFCC"/>
      <color rgb="FF99FF99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mazon.com/Hanglife-HANGLIFE-Heat-Set-Threaded-Inserts/dp/B0CS6YVJYD?th=1" TargetMode="External"/><Relationship Id="rId13" Type="http://schemas.openxmlformats.org/officeDocument/2006/relationships/hyperlink" Target="https://www.amazon.com/MECCANIXITY-Stainless-Hydraulic-Injection-Industries/dp/B0FDQWSQZJ/ref=sr_1_4?crid=1X2J70QMU71HP&amp;dib=eyJ2IjoiMSJ9.Np_6lAV7t9G1jFztVa8KyMTd8W5BhxmcApZCxzPMYHtnMBqcxpayF1J2Uf8wg_Xb9IwIYazUAgdoqEyNZsSYF7-LhJ_AJ7ia5BagHincc1Nb3012oPQw56AbghulMqdsD5pNgcKWvO13waxhCdhBsuvghNs4cSNJRCh24VuYeLjVbvdQyuIC6oAMhRX58I6Bu50W65tS6O3aGLEwbiosqIysJqZI0I-ibv1TEYbxpqQ.L6ixXl6nRYEXGflAjk-Gr2zfnMelNf-HF9Ensqwy1Qo&amp;dib_tag=se&amp;keywords=60%2Bmm%2Bshoulder%2Bbolt&amp;qid=1784697081&amp;sprefix=60%2Bmm%2Bshoulder%2Bbolt%2Caps%2C179&amp;sr=8-4&amp;th=1" TargetMode="External"/><Relationship Id="rId18" Type="http://schemas.openxmlformats.org/officeDocument/2006/relationships/hyperlink" Target="https://www.amazon.com/Juvielich-Stainless-Cylindrical-Bookshelf-Furniture/dp/B0DKBMBQ9K/ref=sr_1_3?dib=eyJ2IjoiMSJ9.wRRjtv76KLccQqzvL3ckgRBwQJFbzN8GsYvP_zyffhGeEQTDxGTc56d3SVnFiWpt1m_zL1vVmoeGhEq5WvWKqTX9hnZ5Ab-OlMyThtNwzAL5dHhS5Evhk27Yax8F2y8wHCRAderA8Szh7d7EuafePWyUOJUzO1jh8w1pzVvUBhZSgnTvVOibudRkq-yCmMcrz8QymmPyPXG6boqhxIdVto3gV0OxEliK_8HKEoLyChGUra2ghGU6VmTpZ2m7LjfE8KbAPpSyzNaDtniZNOjf2vvTehRVRwwNgOqlK5on4S4.oFe_fjJJTwnl7Td4mmz_QSo2TVm-xMxbnCi_L5q8fV0&amp;dib_tag=se&amp;keywords=5%2Bmm%2Bpin%2B30%2Bmm&amp;qid=1784686993&amp;s=industrial&amp;sr=1-3&amp;th=1" TargetMode="External"/><Relationship Id="rId26" Type="http://schemas.openxmlformats.org/officeDocument/2006/relationships/hyperlink" Target="https://www.amazon.com/gp/product/B017TFR664/ref=ox_sc_act_title_3?smid=AITZO53LNBA1K&amp;th=1" TargetMode="External"/><Relationship Id="rId3" Type="http://schemas.openxmlformats.org/officeDocument/2006/relationships/hyperlink" Target="https://mjbots.com/products/moteus-r4-11?variant=41896124154017" TargetMode="External"/><Relationship Id="rId21" Type="http://schemas.openxmlformats.org/officeDocument/2006/relationships/hyperlink" Target="https://www.amazon.com/uxcell-6700ZZ-Groove-Bearings-Shielded/dp/B082PPYZQX/ref=sr_1_3?dib=eyJ2IjoiMSJ9.9mjWA7yjl7PLM8VFgKksVvffkaRx66ubk9KsZO5brFEoK6ghYnk1Og41Nxg7WQmfQRPLehXz5xgi1PxLYs1Jzjo5f8aRCS0wERKRIORHhIBZSjoKgBzd0US2MAqUmQPcv-HWzlg8YKizxy_9snH7qaIzG7SmsyNvYfdhCEdwpwPBfRRvODR9Onx2YAHzcXboDp5DxM5P_rCdsO2MKqbuOsv-fw-Ly7C1v7pZJdmCqAc.TBNTu30br3DEZjtpBye96OYUshcEkLMYAP4-ZM93f9k&amp;dib_tag=se&amp;keywords=15mm%2Bbearing&amp;qid=1785209760&amp;sr=8-3&amp;th=1" TargetMode="External"/><Relationship Id="rId7" Type="http://schemas.openxmlformats.org/officeDocument/2006/relationships/hyperlink" Target="https://www.amazon.com/FFVRVSS-Threaded-Assortment-Printing-Components/dp/B0H1V72B3B?th=1" TargetMode="External"/><Relationship Id="rId12" Type="http://schemas.openxmlformats.org/officeDocument/2006/relationships/hyperlink" Target="https://www.amazon.com/Hexagonal-Wearproof-Intelligent-Robots-Equipment/dp/B09NHQFZZG" TargetMode="External"/><Relationship Id="rId17" Type="http://schemas.openxmlformats.org/officeDocument/2006/relationships/hyperlink" Target="https://www.amazon.com/Mlxkell-MR105-2RS-Bearings-5x10x4mm-Double/dp/B0B18W8TYH/ref=sr_1_2_sspa?channelId=500&amp;clpRedir=Y&amp;dib=eyJ2IjoiMSJ9.eFePg22TP1XY19M7kgrvxpf143ll1IgwS1y3CDHDMpWWE3ur5OBjr5f-QAP8yc3CgP702y-6xOQteyFP4sQYyqPuoX8ZqPduKuBYWwbp2GksNsQw6SoMEI8QPRuReTbaL8GJEMNVVNb8JqEg_8isp46DaQmWYLoYe5lfzuQ4ZhfDyBW6WCi2yiB50fqHQq6DJIWIai0Ese-ZAOqrOvIsvlalDEyuUUDNydLBGvVVmRw.VzUdPsoZ1zk9utr-OgkGaOgKr4HHzUIdw2liu1pqP3I&amp;dib_tag=se&amp;keywords=5x10x4mm%2Bbearings&amp;plpRedirect=mhFallback&amp;qid=1785029690&amp;sr=8-2-spons&amp;sp_csd=d2lkZ2V0TmFtZT1zcF9hdGY&amp;psc=1" TargetMode="External"/><Relationship Id="rId25" Type="http://schemas.openxmlformats.org/officeDocument/2006/relationships/hyperlink" Target="https://aifitlab.com/products/steadywin-gim3505-8-planetary-reducer-servo-motor?variant=44388211785864" TargetMode="External"/><Relationship Id="rId2" Type="http://schemas.openxmlformats.org/officeDocument/2006/relationships/hyperlink" Target="https://mjbots.com/products/moteus-r4-11-developer-kit" TargetMode="External"/><Relationship Id="rId16" Type="http://schemas.openxmlformats.org/officeDocument/2006/relationships/hyperlink" Target="https://www.amazon.com/Hanglife-HANGLIFE-Heat-Set-Threaded-Inserts/dp/B0CS6YVJYD?th=1" TargetMode="External"/><Relationship Id="rId20" Type="http://schemas.openxmlformats.org/officeDocument/2006/relationships/hyperlink" Target="https://www.amazon.com/Hexagonal-Wearproof-Intelligent-Robots-Equipment/dp/B09NHQFZZG" TargetMode="External"/><Relationship Id="rId1" Type="http://schemas.openxmlformats.org/officeDocument/2006/relationships/hyperlink" Target="https://mjbots.com/products/moteus-heat-spreader?variant=37322050437281" TargetMode="External"/><Relationship Id="rId6" Type="http://schemas.openxmlformats.org/officeDocument/2006/relationships/hyperlink" Target="https://www.amazon.com/uxcell-6810-2RS-Groove-Bearings-Double/dp/B082PXZLJT/ref=sr_1_3_pp?channelId=500&amp;clpRedir=Y&amp;dib=eyJ2IjoiMSJ9.0aKLR0Z-11aU68AgvaTx06u4tpo6HdUiBQLOXiW028_EGA1q8InNeFPMTUICVNF-iAkO6Yr7Y-HD7E6lpVpS-pA9zQi-tHo6zsc7fgaRtDdzS7O2CtZYnd2lLdpT7I5jfglFoYL-s470qpGmQIOO622sfkJVWai6K8yvLZTE6-2IqpZ1k6SAs1btBV7rqhlfGgz3KnMQN7AlAFZYIhNOpbgvGMoWnaV5PHAQeW85qA8.lhko4jpxX0eFWGDyubeCgC9OvPnpqKKM9yE9jzl1WQ4&amp;dib_tag=se&amp;keywords=50mm%2Bbearing&amp;plpRedirect=mhFallback&amp;qid=1784660331&amp;sr=8-3&amp;th=1" TargetMode="External"/><Relationship Id="rId11" Type="http://schemas.openxmlformats.org/officeDocument/2006/relationships/hyperlink" Target="https://www.amazon.com/gp/product/B0GW45XBP2/ref=ox_sc_act_title_1?smid=A2C1Q80HIP80AY&amp;th=1" TargetMode="External"/><Relationship Id="rId24" Type="http://schemas.openxmlformats.org/officeDocument/2006/relationships/hyperlink" Target="http://amazon.com/HARFINGTON-6808-2RS-Bearings-Bearing-Conveyors/dp/B0CGM46PYL/ref=sr_1_4?adgrpid=186430327876&amp;dib=eyJ2IjoiMSJ9.JpyibVH5lM90SLjYJDFa_SGMMuryWenHUdfAWxfT0lDGGlmzPFI1nRtPGM5xki0zvBmtLpCTzmMekSXlPB6xi_DX1G_V-NVIXSfGHtXwDFRrwRoX9XMxSaayWJ8owTony8GIaulqYFzuXAjQgKfWn-SYwmMA5WrldoNPkwGFNb-NEX59iXnd74iUVZhgtowmsm41sNNH192pMH1_2P0mqBG1AKOR9zKl7Da5s_lnv3s.lQXyhJ8bbtA94hMk7g6apokee2omtTFLWrZNwgD_BaY&amp;dib_tag=se&amp;hvadid=779533333833&amp;hvdev=c&amp;hvexpln=0&amp;hvlocphy=1018688&amp;hvnetw=g&amp;hvocijid=9733289178541732856--&amp;hvqmt=e&amp;hvrand=9733289178541732856&amp;hvtargid=kwd-398107881585&amp;hydadcr=3698_13539220_2118464&amp;keywords=40x52x7%2Bbearing&amp;mcid=0daf2757fdc437f8a48c935974184672&amp;qid=1785804520&amp;sr=8-4&amp;th=1" TargetMode="External"/><Relationship Id="rId5" Type="http://schemas.openxmlformats.org/officeDocument/2006/relationships/hyperlink" Target="https://www.amazon.com/uxcell-6902-2RS-Bearing-1180902-Bearings/dp/B07FWC3SJD/ref=sr_1_2?crid=2VVX1V2L1WXDB&amp;dib=eyJ2IjoiMSJ9.xsXtkCl8LTpjMWJw2PDGjoh_5rzi857LVCpEMOZnHxOd4NkXh7UKmucqhmhP-feNiOu9oGzoJMMqURkOOzjGmF3K3Ny6MzOxkT-fZoEy26z1iYXTEim6IggJBsmyUjnj2e1x_r9P9FZQuDcUj3avChKH5sJ0NgwyOFYmLaINVON9rU6DyIDBz4Q7fPgR0f17vwzaz0dP5fuBvszFK5BjA3-SMTPogwQUunxWTAsNZvVdBKk_k6q-lQPjf5bAG7yhg7AQnYE0mda1m9O4EQUqFylXgCkhZz9NIKELS-Zjxn4.sWPjRWsCt7SytaWhaVM1m5eGKIleqWWCto7D3_bGDi0&amp;dib_tag=se&amp;keywords=15x28x8%2Bbearing&amp;qid=1785050415&amp;s=industrial&amp;sprefix=15x28x8%2Bbearing%2Cindustrial%2C93&amp;sr=1-2&amp;th=1" TargetMode="External"/><Relationship Id="rId15" Type="http://schemas.openxmlformats.org/officeDocument/2006/relationships/hyperlink" Target="https://www.amazon.com/FFVRVSS-Threaded-Assortment-Printing-Components/dp/B0H1V72B3B?th=1" TargetMode="External"/><Relationship Id="rId23" Type="http://schemas.openxmlformats.org/officeDocument/2006/relationships/hyperlink" Target="https://www.amazon.com/Fgruh-M2-5-Assortment-Stainless-Assorted/dp/B0FG2BYJSR/ref=sr_1_1_sspa?channelId=500&amp;clpRedir=Y&amp;dib=eyJ2IjoiMSJ9.8mwX8HTSePH_eGIa4dvvETlimR9llRyS9Joc6lO9jFSzgViHB_T6RfTv78Ee6CrxVZOdX7YN4_qojKDqA0_KFd4NUtE_VlYLSBGymVVmu-Jgw_7fVR5SyhBexCbbF_d1tXh7LnVkpyLA4wspwX-imb-gpT88V2kavgaCjHaxhUvq-wXubIjYAsR5Hr7JYm18T3NUaT0WrSmRz6cM9-O1Jm_icDQ53oTzbbJBAssYJdE.yMspX-al7SBrM9ZKrJCe_q_IYDBkcCYUDQizIAwxHaw&amp;dib_tag=se&amp;keywords=m2.5%2Bscrews&amp;plpRedirect=mhFallback&amp;qid=1785739462&amp;sr=8-1-spons&amp;sp_csd=d2lkZ2V0TmFtZT1zcF9hdGY&amp;th=1" TargetMode="External"/><Relationship Id="rId10" Type="http://schemas.openxmlformats.org/officeDocument/2006/relationships/hyperlink" Target="https://www.amazon.com/Juvielich-Stainless-Cylindrical-Bookshelf-Furniture/dp/B0DKBMBQ9K/ref=sr_1_3?dib=eyJ2IjoiMSJ9.wRRjtv76KLccQqzvL3ckgRBwQJFbzN8GsYvP_zyffhGeEQTDxGTc56d3SVnFiWpt1m_zL1vVmoeGhEq5WvWKqTX9hnZ5Ab-OlMyThtNwzAL5dHhS5Evhk27Yax8F2y8wHCRAderA8Szh7d7EuafePWyUOJUzO1jh8w1pzVvUBhZSgnTvVOibudRkq-yCmMcrz8QymmPyPXG6boqhxIdVto3gV0OxEliK_8HKEoLyChGUra2ghGU6VmTpZ2m7LjfE8KbAPpSyzNaDtniZNOjf2vvTehRVRwwNgOqlK5on4S4.oFe_fjJJTwnl7Td4mmz_QSo2TVm-xMxbnCi_L5q8fV0&amp;dib_tag=se&amp;keywords=5%2Bmm%2Bpin%2B30%2Bmm&amp;qid=1784686993&amp;s=industrial&amp;sr=1-3&amp;th=1" TargetMode="External"/><Relationship Id="rId19" Type="http://schemas.openxmlformats.org/officeDocument/2006/relationships/hyperlink" Target="https://www.amazon.com/gp/product/B0GW45XBP2/ref=ox_sc_act_title_1?smid=A2C1Q80HIP80AY&amp;th=1" TargetMode="External"/><Relationship Id="rId4" Type="http://schemas.openxmlformats.org/officeDocument/2006/relationships/hyperlink" Target="https://mjbots.com/products/mj5208?variant=37262679900321" TargetMode="External"/><Relationship Id="rId9" Type="http://schemas.openxmlformats.org/officeDocument/2006/relationships/hyperlink" Target="https://www.amazon.com/Mlxkell-MR105-2RS-Bearings-5x10x4mm-Double/dp/B0B18W8TYH/ref=sr_1_2_sspa?channelId=500&amp;clpRedir=Y&amp;dib=eyJ2IjoiMSJ9.eFePg22TP1XY19M7kgrvxpf143ll1IgwS1y3CDHDMpWWE3ur5OBjr5f-QAP8yc3CgP702y-6xOQteyFP4sQYyqPuoX8ZqPduKuBYWwbp2GksNsQw6SoMEI8QPRuReTbaL8GJEMNVVNb8JqEg_8isp46DaQmWYLoYe5lfzuQ4ZhfDyBW6WCi2yiB50fqHQq6DJIWIai0Ese-ZAOqrOvIsvlalDEyuUUDNydLBGvVVmRw.VzUdPsoZ1zk9utr-OgkGaOgKr4HHzUIdw2liu1pqP3I&amp;dib_tag=se&amp;keywords=5x10x4mm%2Bbearings&amp;plpRedirect=mhFallback&amp;qid=1785029690&amp;sr=8-2-spons&amp;sp_csd=d2lkZ2V0TmFtZT1zcF9hdGY&amp;psc=1" TargetMode="External"/><Relationship Id="rId14" Type="http://schemas.openxmlformats.org/officeDocument/2006/relationships/hyperlink" Target="https://aifitlab.com/products/steadywin-gim3505-8-planetary-reducer-servo-motor?variant=44388211785864" TargetMode="External"/><Relationship Id="rId22" Type="http://schemas.openxmlformats.org/officeDocument/2006/relationships/hyperlink" Target="https://www.amazon.com/MECCANIXITY-Stainless-Hydraulic-Injection-Industries/dp/B0FDQW5GKG/ref=sr_1_4?crid=1X2J70QMU71HP&amp;dib=eyJ2IjoiMSJ9.Np_6lAV7t9G1jFztVa8KyMTd8W5BhxmcApZCxzPMYHtnMBqcxpayF1J2Uf8wg_Xb9IwIYazUAgdoqEyNZsSYF7-LhJ_AJ7ia5BagHincc1Nb3012oPQw56AbghulMqdsD5pNgcKWvO13waxhCdhBsuvghNs4cSNJRCh24VuYeLjVbvdQyuIC6oAMhRX58I6Bu50W65tS6O3aGLEwbiosqIysJqZI0I-ibv1TEYbxpqQ.L6ixXl6nRYEXGflAjk-Gr2zfnMelNf-HF9Ensqwy1Qo&amp;dib_tag=se&amp;keywords=60%2Bmm%2Bshoulder%2Bbolt&amp;qid=1784697081&amp;sprefix=60%2Bmm%2Bshoulder%2Bbolt%2Caps%2C179&amp;sr=8-4&amp;th=1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7"/>
  <sheetViews>
    <sheetView showGridLines="0" tabSelected="1" zoomScaleNormal="100" workbookViewId="0">
      <selection activeCell="D12" sqref="D12:F12"/>
    </sheetView>
  </sheetViews>
  <sheetFormatPr defaultColWidth="8.6640625" defaultRowHeight="14.4" x14ac:dyDescent="0.3"/>
  <cols>
    <col min="1" max="1" width="45.88671875" customWidth="1"/>
    <col min="2" max="2" width="12" customWidth="1"/>
    <col min="3" max="3" width="10" customWidth="1"/>
    <col min="4" max="4" width="14" customWidth="1"/>
    <col min="5" max="6" width="16" customWidth="1"/>
    <col min="7" max="7" width="13" customWidth="1"/>
    <col min="8" max="8" width="14" customWidth="1"/>
    <col min="9" max="9" width="62" customWidth="1"/>
  </cols>
  <sheetData>
    <row r="1" spans="1:9" ht="16.8" x14ac:dyDescent="0.3">
      <c r="A1" s="1" t="s">
        <v>0</v>
      </c>
    </row>
    <row r="2" spans="1:9" x14ac:dyDescent="0.3">
      <c r="A2" s="2" t="s">
        <v>1</v>
      </c>
    </row>
    <row r="4" spans="1:9" x14ac:dyDescent="0.3">
      <c r="A4" s="93" t="s">
        <v>2</v>
      </c>
      <c r="B4" s="93"/>
      <c r="C4" s="93"/>
      <c r="D4" s="93"/>
      <c r="E4" s="93"/>
      <c r="F4" s="93"/>
      <c r="G4" s="93"/>
      <c r="H4" s="93"/>
      <c r="I4" s="93"/>
    </row>
    <row r="5" spans="1:9" x14ac:dyDescent="0.3">
      <c r="A5" s="3" t="s">
        <v>3</v>
      </c>
      <c r="B5" s="4">
        <v>0.25</v>
      </c>
      <c r="C5" s="3" t="s">
        <v>4</v>
      </c>
    </row>
    <row r="6" spans="1:9" x14ac:dyDescent="0.3">
      <c r="A6" s="3" t="s">
        <v>5</v>
      </c>
      <c r="B6" s="4">
        <v>7.0000000000000007E-2</v>
      </c>
      <c r="C6" s="3" t="s">
        <v>4</v>
      </c>
    </row>
    <row r="7" spans="1:9" x14ac:dyDescent="0.3">
      <c r="A7" s="3" t="s">
        <v>6</v>
      </c>
      <c r="B7" s="4">
        <v>0.08</v>
      </c>
      <c r="C7" s="3" t="s">
        <v>4</v>
      </c>
      <c r="I7" s="2" t="s">
        <v>7</v>
      </c>
    </row>
    <row r="8" spans="1:9" x14ac:dyDescent="0.3">
      <c r="A8" s="3" t="s">
        <v>8</v>
      </c>
      <c r="B8" s="4">
        <v>0.03</v>
      </c>
      <c r="C8" s="3" t="s">
        <v>4</v>
      </c>
      <c r="I8" s="2" t="s">
        <v>9</v>
      </c>
    </row>
    <row r="9" spans="1:9" x14ac:dyDescent="0.3">
      <c r="A9" s="5" t="s">
        <v>10</v>
      </c>
      <c r="B9" s="6">
        <f>B5+B6+B7</f>
        <v>0.4</v>
      </c>
      <c r="C9" s="3" t="s">
        <v>4</v>
      </c>
      <c r="I9" s="2" t="s">
        <v>11</v>
      </c>
    </row>
    <row r="11" spans="1:9" x14ac:dyDescent="0.3">
      <c r="A11" s="93" t="s">
        <v>12</v>
      </c>
      <c r="B11" s="93"/>
      <c r="C11" s="93"/>
      <c r="D11" s="93"/>
      <c r="E11" s="93"/>
      <c r="F11" s="93"/>
      <c r="G11" s="93"/>
      <c r="H11" s="93"/>
      <c r="I11" s="93"/>
    </row>
    <row r="12" spans="1:9" x14ac:dyDescent="0.3">
      <c r="A12" s="3" t="s">
        <v>13</v>
      </c>
      <c r="B12" s="4">
        <v>0.89</v>
      </c>
      <c r="C12" s="3" t="s">
        <v>14</v>
      </c>
      <c r="I12" s="2" t="s">
        <v>15</v>
      </c>
    </row>
    <row r="13" spans="1:9" x14ac:dyDescent="0.3">
      <c r="A13" s="3" t="s">
        <v>16</v>
      </c>
      <c r="B13" s="4">
        <v>0.12</v>
      </c>
      <c r="C13" s="3" t="s">
        <v>14</v>
      </c>
      <c r="I13" s="2" t="s">
        <v>17</v>
      </c>
    </row>
    <row r="14" spans="1:9" x14ac:dyDescent="0.3">
      <c r="A14" s="3" t="s">
        <v>18</v>
      </c>
      <c r="B14" s="4">
        <v>0.22</v>
      </c>
      <c r="C14" s="3" t="s">
        <v>14</v>
      </c>
      <c r="I14" s="2" t="s">
        <v>19</v>
      </c>
    </row>
    <row r="15" spans="1:9" x14ac:dyDescent="0.3">
      <c r="A15" s="3" t="s">
        <v>20</v>
      </c>
      <c r="B15" s="4">
        <v>0.15</v>
      </c>
      <c r="C15" s="3" t="s">
        <v>14</v>
      </c>
      <c r="I15" s="2" t="s">
        <v>21</v>
      </c>
    </row>
    <row r="16" spans="1:9" x14ac:dyDescent="0.3">
      <c r="A16" s="3" t="s">
        <v>22</v>
      </c>
      <c r="B16" s="4">
        <v>0.2</v>
      </c>
      <c r="C16" s="3" t="s">
        <v>14</v>
      </c>
      <c r="I16" s="2" t="s">
        <v>23</v>
      </c>
    </row>
    <row r="17" spans="1:9" x14ac:dyDescent="0.3">
      <c r="A17" s="3" t="s">
        <v>24</v>
      </c>
      <c r="B17" s="4">
        <v>0.06</v>
      </c>
      <c r="C17" s="3" t="s">
        <v>14</v>
      </c>
    </row>
    <row r="18" spans="1:9" x14ac:dyDescent="0.3">
      <c r="A18" s="3" t="s">
        <v>25</v>
      </c>
      <c r="B18" s="4">
        <v>0.06</v>
      </c>
      <c r="C18" s="3" t="s">
        <v>14</v>
      </c>
      <c r="I18" s="2" t="s">
        <v>26</v>
      </c>
    </row>
    <row r="20" spans="1:9" x14ac:dyDescent="0.3">
      <c r="A20" s="93" t="s">
        <v>27</v>
      </c>
      <c r="B20" s="93"/>
      <c r="C20" s="93"/>
      <c r="D20" s="93"/>
      <c r="E20" s="93"/>
      <c r="F20" s="93"/>
      <c r="G20" s="93"/>
      <c r="H20" s="93"/>
      <c r="I20" s="93"/>
    </row>
    <row r="21" spans="1:9" x14ac:dyDescent="0.3">
      <c r="A21" s="3" t="s">
        <v>28</v>
      </c>
      <c r="B21" s="7">
        <v>9.81</v>
      </c>
      <c r="C21" s="3" t="s">
        <v>29</v>
      </c>
    </row>
    <row r="22" spans="1:9" x14ac:dyDescent="0.3">
      <c r="A22" s="3" t="s">
        <v>30</v>
      </c>
      <c r="B22" s="8">
        <v>1.5</v>
      </c>
      <c r="I22" s="2" t="s">
        <v>31</v>
      </c>
    </row>
    <row r="24" spans="1:9" x14ac:dyDescent="0.3">
      <c r="A24" s="93" t="s">
        <v>32</v>
      </c>
      <c r="B24" s="93"/>
      <c r="C24" s="93"/>
      <c r="D24" s="93"/>
      <c r="E24" s="93"/>
      <c r="F24" s="93"/>
      <c r="G24" s="93"/>
      <c r="H24" s="93"/>
      <c r="I24" s="93"/>
    </row>
    <row r="25" spans="1:9" x14ac:dyDescent="0.3">
      <c r="A25" s="3" t="s">
        <v>33</v>
      </c>
      <c r="B25" s="7">
        <v>0.3</v>
      </c>
      <c r="C25" s="3" t="s">
        <v>34</v>
      </c>
      <c r="I25" s="2" t="s">
        <v>35</v>
      </c>
    </row>
    <row r="26" spans="1:9" x14ac:dyDescent="0.3">
      <c r="A26" s="3" t="s">
        <v>36</v>
      </c>
      <c r="B26" s="7">
        <v>1.7</v>
      </c>
      <c r="C26" s="3" t="s">
        <v>34</v>
      </c>
      <c r="I26" s="2" t="s">
        <v>37</v>
      </c>
    </row>
    <row r="27" spans="1:9" x14ac:dyDescent="0.3">
      <c r="A27" s="3" t="s">
        <v>38</v>
      </c>
      <c r="B27" s="9">
        <v>240</v>
      </c>
      <c r="C27" s="3" t="s">
        <v>39</v>
      </c>
      <c r="I27" s="2" t="s">
        <v>40</v>
      </c>
    </row>
    <row r="28" spans="1:9" x14ac:dyDescent="0.3">
      <c r="A28" s="3" t="s">
        <v>41</v>
      </c>
      <c r="B28" s="10">
        <v>0.65</v>
      </c>
      <c r="C28" s="3" t="s">
        <v>42</v>
      </c>
      <c r="I28" s="2" t="s">
        <v>43</v>
      </c>
    </row>
    <row r="29" spans="1:9" x14ac:dyDescent="0.3">
      <c r="A29" s="3" t="s">
        <v>44</v>
      </c>
      <c r="B29" s="9">
        <v>15</v>
      </c>
      <c r="C29" s="3" t="s">
        <v>45</v>
      </c>
      <c r="I29" s="2" t="s">
        <v>46</v>
      </c>
    </row>
    <row r="30" spans="1:9" x14ac:dyDescent="0.3">
      <c r="A30" s="3" t="s">
        <v>47</v>
      </c>
      <c r="B30" s="11">
        <v>30</v>
      </c>
      <c r="C30" s="3" t="s">
        <v>45</v>
      </c>
      <c r="I30" s="2" t="s">
        <v>48</v>
      </c>
    </row>
    <row r="31" spans="1:9" x14ac:dyDescent="0.3">
      <c r="A31" s="3" t="s">
        <v>49</v>
      </c>
      <c r="B31" s="64">
        <v>15</v>
      </c>
      <c r="C31" s="3" t="s">
        <v>45</v>
      </c>
      <c r="I31" s="2" t="s">
        <v>50</v>
      </c>
    </row>
    <row r="32" spans="1:9" x14ac:dyDescent="0.3">
      <c r="A32" s="3" t="s">
        <v>51</v>
      </c>
      <c r="B32" s="7">
        <v>0.2</v>
      </c>
      <c r="C32" s="3" t="s">
        <v>34</v>
      </c>
      <c r="I32" s="2" t="s">
        <v>52</v>
      </c>
    </row>
    <row r="33" spans="1:9" x14ac:dyDescent="0.3">
      <c r="A33" s="3" t="s">
        <v>53</v>
      </c>
      <c r="B33" s="9">
        <v>8</v>
      </c>
      <c r="C33" s="3" t="s">
        <v>45</v>
      </c>
      <c r="I33" s="2" t="s">
        <v>54</v>
      </c>
    </row>
    <row r="34" spans="1:9" x14ac:dyDescent="0.3">
      <c r="A34" s="3" t="s">
        <v>55</v>
      </c>
      <c r="B34" s="10">
        <v>0.85</v>
      </c>
      <c r="C34" s="3" t="s">
        <v>42</v>
      </c>
    </row>
    <row r="36" spans="1:9" x14ac:dyDescent="0.3">
      <c r="A36" s="93" t="s">
        <v>56</v>
      </c>
      <c r="B36" s="93"/>
      <c r="C36" s="93"/>
      <c r="D36" s="93"/>
      <c r="E36" s="93"/>
      <c r="F36" s="93"/>
      <c r="G36" s="93"/>
      <c r="H36" s="93"/>
      <c r="I36" s="93"/>
    </row>
    <row r="37" spans="1:9" ht="26.4" x14ac:dyDescent="0.3">
      <c r="A37" s="12" t="s">
        <v>57</v>
      </c>
      <c r="B37" s="12" t="s">
        <v>58</v>
      </c>
      <c r="C37" s="12"/>
      <c r="D37" s="12" t="s">
        <v>59</v>
      </c>
      <c r="E37" s="12" t="s">
        <v>60</v>
      </c>
      <c r="F37" s="12" t="s">
        <v>61</v>
      </c>
      <c r="G37" s="12" t="s">
        <v>62</v>
      </c>
    </row>
    <row r="38" spans="1:9" x14ac:dyDescent="0.3">
      <c r="A38" s="13" t="s">
        <v>63</v>
      </c>
      <c r="B38" s="14">
        <f>B17</f>
        <v>0.06</v>
      </c>
      <c r="D38" s="14">
        <f>B5/2</f>
        <v>0.125</v>
      </c>
      <c r="E38" s="15" t="s">
        <v>64</v>
      </c>
      <c r="F38" s="16">
        <f t="shared" ref="F38:F44" si="0">B38*$B$21*D38</f>
        <v>7.3575000000000002E-2</v>
      </c>
      <c r="G38" s="16">
        <v>0</v>
      </c>
    </row>
    <row r="39" spans="1:9" x14ac:dyDescent="0.3">
      <c r="A39" s="13" t="s">
        <v>65</v>
      </c>
      <c r="B39" s="14">
        <f>B12</f>
        <v>0.89</v>
      </c>
      <c r="D39" s="14">
        <f>B5</f>
        <v>0.25</v>
      </c>
      <c r="E39" s="15" t="s">
        <v>64</v>
      </c>
      <c r="F39" s="16">
        <f>B39*$B$21*D39</f>
        <v>2.182725</v>
      </c>
      <c r="G39" s="16">
        <v>0</v>
      </c>
    </row>
    <row r="40" spans="1:9" x14ac:dyDescent="0.3">
      <c r="A40" s="13" t="s">
        <v>66</v>
      </c>
      <c r="B40" s="14">
        <f>B13</f>
        <v>0.12</v>
      </c>
      <c r="D40" s="14">
        <f>B5+B8</f>
        <v>0.28000000000000003</v>
      </c>
      <c r="E40" s="14">
        <f>B8</f>
        <v>0.03</v>
      </c>
      <c r="F40" s="16">
        <f t="shared" si="0"/>
        <v>0.32961600000000002</v>
      </c>
      <c r="G40" s="16">
        <f>B40*$B$21*E40</f>
        <v>3.5316E-2</v>
      </c>
    </row>
    <row r="41" spans="1:9" x14ac:dyDescent="0.3">
      <c r="A41" s="13" t="s">
        <v>67</v>
      </c>
      <c r="B41" s="14">
        <f>B18</f>
        <v>0.06</v>
      </c>
      <c r="D41" s="14">
        <f>B5+B6/2</f>
        <v>0.28500000000000003</v>
      </c>
      <c r="E41" s="14">
        <f>B6/2</f>
        <v>3.5000000000000003E-2</v>
      </c>
      <c r="F41" s="16">
        <f t="shared" si="0"/>
        <v>0.16775100000000001</v>
      </c>
      <c r="G41" s="16">
        <f>B41*$B$21*E41</f>
        <v>2.0601000000000001E-2</v>
      </c>
    </row>
    <row r="42" spans="1:9" x14ac:dyDescent="0.3">
      <c r="A42" s="13" t="s">
        <v>68</v>
      </c>
      <c r="B42" s="14">
        <f>B14</f>
        <v>0.22</v>
      </c>
      <c r="D42" s="14">
        <f>B5+B6</f>
        <v>0.32</v>
      </c>
      <c r="E42" s="14">
        <f>B6</f>
        <v>7.0000000000000007E-2</v>
      </c>
      <c r="F42" s="16">
        <f t="shared" si="0"/>
        <v>0.69062400000000013</v>
      </c>
      <c r="G42" s="16">
        <f>B42*$B$21*E42</f>
        <v>0.15107400000000004</v>
      </c>
    </row>
    <row r="43" spans="1:9" x14ac:dyDescent="0.3">
      <c r="A43" s="13" t="s">
        <v>69</v>
      </c>
      <c r="B43" s="14">
        <f>B15</f>
        <v>0.15</v>
      </c>
      <c r="D43" s="14">
        <f>B5+B6+B7/2</f>
        <v>0.36</v>
      </c>
      <c r="E43" s="14">
        <f>B6+B7/2</f>
        <v>0.11000000000000001</v>
      </c>
      <c r="F43" s="16">
        <f t="shared" si="0"/>
        <v>0.52973999999999999</v>
      </c>
      <c r="G43" s="16">
        <f>B43*$B$21*E43</f>
        <v>0.16186500000000004</v>
      </c>
    </row>
    <row r="44" spans="1:9" x14ac:dyDescent="0.3">
      <c r="A44" s="13" t="s">
        <v>70</v>
      </c>
      <c r="B44" s="14">
        <f>B16</f>
        <v>0.2</v>
      </c>
      <c r="D44" s="14">
        <f>B5+B6+B7</f>
        <v>0.4</v>
      </c>
      <c r="E44" s="14">
        <f>B6+B7</f>
        <v>0.15000000000000002</v>
      </c>
      <c r="F44" s="16">
        <f t="shared" si="0"/>
        <v>0.78480000000000016</v>
      </c>
      <c r="G44" s="16">
        <f>B44*$B$21*E44</f>
        <v>0.29430000000000006</v>
      </c>
    </row>
    <row r="45" spans="1:9" x14ac:dyDescent="0.3">
      <c r="A45" s="17" t="s">
        <v>71</v>
      </c>
      <c r="B45" s="18"/>
      <c r="D45" s="18"/>
      <c r="E45" s="18"/>
      <c r="F45" s="19">
        <f>SUM(F38:F44)</f>
        <v>4.7588310000000007</v>
      </c>
      <c r="G45" s="19">
        <f>SUM(G38:G44)</f>
        <v>0.66315600000000008</v>
      </c>
    </row>
    <row r="47" spans="1:9" x14ac:dyDescent="0.3">
      <c r="A47" s="93" t="s">
        <v>72</v>
      </c>
      <c r="B47" s="93"/>
      <c r="C47" s="93"/>
      <c r="D47" s="93"/>
      <c r="E47" s="93"/>
      <c r="F47" s="93"/>
      <c r="G47" s="93"/>
      <c r="H47" s="93"/>
      <c r="I47" s="93"/>
    </row>
    <row r="48" spans="1:9" x14ac:dyDescent="0.3">
      <c r="A48" s="3" t="s">
        <v>73</v>
      </c>
      <c r="F48" s="20">
        <f>B15*$B$21*(B7/2)</f>
        <v>5.8860000000000003E-2</v>
      </c>
    </row>
    <row r="49" spans="1:9" x14ac:dyDescent="0.3">
      <c r="A49" s="3" t="s">
        <v>74</v>
      </c>
      <c r="F49" s="20">
        <f>B16*$B$21*B7</f>
        <v>0.15696000000000002</v>
      </c>
    </row>
    <row r="50" spans="1:9" x14ac:dyDescent="0.3">
      <c r="A50" s="21" t="s">
        <v>75</v>
      </c>
      <c r="F50" s="22">
        <f>F48+F49</f>
        <v>0.21582000000000001</v>
      </c>
      <c r="I50" s="2" t="s">
        <v>76</v>
      </c>
    </row>
    <row r="52" spans="1:9" x14ac:dyDescent="0.3">
      <c r="A52" s="93" t="s">
        <v>77</v>
      </c>
      <c r="B52" s="93"/>
      <c r="C52" s="93"/>
      <c r="D52" s="93"/>
      <c r="E52" s="93"/>
      <c r="F52" s="93"/>
      <c r="G52" s="93"/>
      <c r="H52" s="93"/>
      <c r="I52" s="93"/>
    </row>
    <row r="53" spans="1:9" ht="26.4" x14ac:dyDescent="0.3">
      <c r="A53" s="12" t="s">
        <v>78</v>
      </c>
      <c r="B53" s="12" t="s">
        <v>79</v>
      </c>
      <c r="C53" s="12" t="s">
        <v>80</v>
      </c>
      <c r="D53" s="12" t="s">
        <v>81</v>
      </c>
      <c r="E53" s="12" t="s">
        <v>82</v>
      </c>
      <c r="F53" s="12" t="s">
        <v>83</v>
      </c>
      <c r="G53" s="12" t="s">
        <v>84</v>
      </c>
      <c r="H53" s="12" t="s">
        <v>85</v>
      </c>
      <c r="I53" s="12" t="s">
        <v>86</v>
      </c>
    </row>
    <row r="54" spans="1:9" x14ac:dyDescent="0.3">
      <c r="A54" s="13" t="s">
        <v>87</v>
      </c>
      <c r="B54" s="23">
        <v>0.5</v>
      </c>
      <c r="C54" s="16">
        <f t="shared" ref="C54:C59" si="1">B54*$B$22</f>
        <v>0.75</v>
      </c>
      <c r="D54" s="24">
        <f>B29</f>
        <v>15</v>
      </c>
      <c r="E54" s="16">
        <f>B25*B29*B28</f>
        <v>2.9250000000000003</v>
      </c>
      <c r="F54" s="16">
        <f t="shared" ref="F54:F59" si="2">E54/C54</f>
        <v>3.9000000000000004</v>
      </c>
      <c r="G54" s="25" t="str">
        <f t="shared" ref="G54:G59" si="3">IF(F54&gt;=1,"PASS",IF(F54&gt;=0.85,"MARGINAL","UNDERSIZED"))</f>
        <v>PASS</v>
      </c>
      <c r="H54" s="26">
        <f>B26*B29*B28</f>
        <v>16.574999999999999</v>
      </c>
      <c r="I54" s="24">
        <f>B27/B29*6</f>
        <v>96</v>
      </c>
    </row>
    <row r="55" spans="1:9" x14ac:dyDescent="0.3">
      <c r="A55" s="13" t="s">
        <v>88</v>
      </c>
      <c r="B55" s="16">
        <f>F45</f>
        <v>4.7588310000000007</v>
      </c>
      <c r="C55" s="16">
        <f t="shared" si="1"/>
        <v>7.138246500000001</v>
      </c>
      <c r="D55" s="24">
        <f>B30</f>
        <v>30</v>
      </c>
      <c r="E55" s="16">
        <f>B25*B30*B28</f>
        <v>5.8500000000000005</v>
      </c>
      <c r="F55" s="16">
        <f t="shared" si="2"/>
        <v>0.81952899777277233</v>
      </c>
      <c r="G55" s="25" t="str">
        <f t="shared" si="3"/>
        <v>UNDERSIZED</v>
      </c>
      <c r="H55" s="26">
        <f>B26*B30*B28</f>
        <v>33.15</v>
      </c>
      <c r="I55" s="24">
        <f>B27/B30*6</f>
        <v>48</v>
      </c>
    </row>
    <row r="56" spans="1:9" x14ac:dyDescent="0.3">
      <c r="A56" s="13" t="s">
        <v>89</v>
      </c>
      <c r="B56" s="16">
        <f>G45</f>
        <v>0.66315600000000008</v>
      </c>
      <c r="C56" s="16">
        <f t="shared" si="1"/>
        <v>0.99473400000000012</v>
      </c>
      <c r="D56" s="24">
        <f>B31</f>
        <v>15</v>
      </c>
      <c r="E56" s="16">
        <f>B25*B31*B28</f>
        <v>2.9250000000000003</v>
      </c>
      <c r="F56" s="16">
        <f t="shared" si="2"/>
        <v>2.9404845918607387</v>
      </c>
      <c r="G56" s="25" t="str">
        <f t="shared" si="3"/>
        <v>PASS</v>
      </c>
      <c r="H56" s="26">
        <f>B26*B31*B28</f>
        <v>16.574999999999999</v>
      </c>
      <c r="I56" s="24">
        <f>B27/B31*6</f>
        <v>96</v>
      </c>
    </row>
    <row r="57" spans="1:9" x14ac:dyDescent="0.3">
      <c r="A57" s="13" t="s">
        <v>90</v>
      </c>
      <c r="B57" s="16">
        <f>F50</f>
        <v>0.21582000000000001</v>
      </c>
      <c r="C57" s="16">
        <f t="shared" si="1"/>
        <v>0.32373000000000002</v>
      </c>
      <c r="D57" s="24">
        <f>B33</f>
        <v>8</v>
      </c>
      <c r="E57" s="16">
        <f>B32*B33*B34</f>
        <v>1.36</v>
      </c>
      <c r="F57" s="16">
        <f t="shared" si="2"/>
        <v>4.2010317239675041</v>
      </c>
      <c r="G57" s="25" t="str">
        <f t="shared" si="3"/>
        <v>PASS</v>
      </c>
      <c r="H57" s="15" t="s">
        <v>64</v>
      </c>
      <c r="I57" s="13"/>
    </row>
    <row r="58" spans="1:9" x14ac:dyDescent="0.3">
      <c r="A58" s="13" t="s">
        <v>91</v>
      </c>
      <c r="B58" s="16">
        <f>F50</f>
        <v>0.21582000000000001</v>
      </c>
      <c r="C58" s="16">
        <f t="shared" si="1"/>
        <v>0.32373000000000002</v>
      </c>
      <c r="D58" s="24">
        <f>B33</f>
        <v>8</v>
      </c>
      <c r="E58" s="16">
        <f>B32*B33*B34</f>
        <v>1.36</v>
      </c>
      <c r="F58" s="16">
        <f t="shared" si="2"/>
        <v>4.2010317239675041</v>
      </c>
      <c r="G58" s="25" t="str">
        <f t="shared" si="3"/>
        <v>PASS</v>
      </c>
      <c r="H58" s="15" t="s">
        <v>64</v>
      </c>
      <c r="I58" s="13"/>
    </row>
    <row r="59" spans="1:9" x14ac:dyDescent="0.3">
      <c r="A59" s="13" t="s">
        <v>92</v>
      </c>
      <c r="B59" s="23">
        <v>0.15</v>
      </c>
      <c r="C59" s="16">
        <f t="shared" si="1"/>
        <v>0.22499999999999998</v>
      </c>
      <c r="D59" s="24">
        <f>B33</f>
        <v>8</v>
      </c>
      <c r="E59" s="16">
        <f>B32*B33*B34</f>
        <v>1.36</v>
      </c>
      <c r="F59" s="16">
        <f t="shared" si="2"/>
        <v>6.0444444444444452</v>
      </c>
      <c r="G59" s="25" t="str">
        <f t="shared" si="3"/>
        <v>PASS</v>
      </c>
      <c r="H59" s="15" t="s">
        <v>64</v>
      </c>
      <c r="I59" s="13"/>
    </row>
    <row r="61" spans="1:9" x14ac:dyDescent="0.3">
      <c r="A61" s="5" t="s">
        <v>93</v>
      </c>
    </row>
    <row r="62" spans="1:9" x14ac:dyDescent="0.3">
      <c r="A62" s="2" t="s">
        <v>94</v>
      </c>
    </row>
    <row r="63" spans="1:9" x14ac:dyDescent="0.3">
      <c r="A63" s="2" t="s">
        <v>95</v>
      </c>
    </row>
    <row r="64" spans="1:9" x14ac:dyDescent="0.3">
      <c r="A64" s="2" t="s">
        <v>96</v>
      </c>
    </row>
    <row r="65" spans="1:1" x14ac:dyDescent="0.3">
      <c r="A65" s="2" t="s">
        <v>97</v>
      </c>
    </row>
    <row r="66" spans="1:1" x14ac:dyDescent="0.3">
      <c r="A66" s="2" t="s">
        <v>98</v>
      </c>
    </row>
    <row r="67" spans="1:1" x14ac:dyDescent="0.3">
      <c r="A67" s="2" t="s">
        <v>99</v>
      </c>
    </row>
  </sheetData>
  <mergeCells count="7">
    <mergeCell ref="A47:I47"/>
    <mergeCell ref="A52:I52"/>
    <mergeCell ref="A4:I4"/>
    <mergeCell ref="A11:I11"/>
    <mergeCell ref="A20:I20"/>
    <mergeCell ref="A24:I24"/>
    <mergeCell ref="A36:I36"/>
  </mergeCells>
  <conditionalFormatting sqref="G54:G59">
    <cfRule type="cellIs" dxfId="2" priority="2" operator="equal">
      <formula>"PASS"</formula>
    </cfRule>
    <cfRule type="cellIs" dxfId="1" priority="3" operator="equal">
      <formula>"MARGINAL"</formula>
    </cfRule>
    <cfRule type="cellIs" dxfId="0" priority="4" operator="equal">
      <formula>"UNDERSIZED"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6" customWidth="1"/>
    <col min="2" max="2" width="30" customWidth="1"/>
    <col min="3" max="3" width="10" customWidth="1"/>
    <col min="4" max="4" width="52" customWidth="1"/>
    <col min="5" max="5" width="44" customWidth="1"/>
    <col min="6" max="6" width="56" customWidth="1"/>
  </cols>
  <sheetData>
    <row r="1" spans="1:6" ht="16.8" x14ac:dyDescent="0.3">
      <c r="A1" s="1" t="s">
        <v>100</v>
      </c>
    </row>
    <row r="2" spans="1:6" x14ac:dyDescent="0.3">
      <c r="A2" s="2" t="s">
        <v>101</v>
      </c>
    </row>
    <row r="4" spans="1:6" x14ac:dyDescent="0.3">
      <c r="A4" s="27" t="s">
        <v>102</v>
      </c>
      <c r="B4" s="27" t="s">
        <v>103</v>
      </c>
      <c r="C4" s="27" t="s">
        <v>104</v>
      </c>
      <c r="D4" s="27" t="s">
        <v>105</v>
      </c>
      <c r="E4" s="27" t="s">
        <v>106</v>
      </c>
      <c r="F4" s="27" t="s">
        <v>107</v>
      </c>
    </row>
    <row r="5" spans="1:6" ht="39.6" x14ac:dyDescent="0.3">
      <c r="A5" s="28" t="s">
        <v>108</v>
      </c>
      <c r="B5" s="29" t="s">
        <v>109</v>
      </c>
      <c r="C5" s="28" t="s">
        <v>110</v>
      </c>
      <c r="D5" s="30" t="s">
        <v>111</v>
      </c>
      <c r="E5" s="30" t="s">
        <v>112</v>
      </c>
      <c r="F5" s="30" t="s">
        <v>113</v>
      </c>
    </row>
    <row r="6" spans="1:6" ht="66" x14ac:dyDescent="0.3">
      <c r="A6" s="28" t="s">
        <v>114</v>
      </c>
      <c r="B6" s="29" t="s">
        <v>115</v>
      </c>
      <c r="C6" s="28" t="s">
        <v>116</v>
      </c>
      <c r="D6" s="30" t="s">
        <v>117</v>
      </c>
      <c r="E6" s="30" t="s">
        <v>118</v>
      </c>
      <c r="F6" s="30" t="s">
        <v>119</v>
      </c>
    </row>
    <row r="7" spans="1:6" ht="66" x14ac:dyDescent="0.3">
      <c r="A7" s="28" t="s">
        <v>120</v>
      </c>
      <c r="B7" s="29" t="s">
        <v>121</v>
      </c>
      <c r="C7" s="28" t="s">
        <v>122</v>
      </c>
      <c r="D7" s="30" t="s">
        <v>123</v>
      </c>
      <c r="E7" s="30" t="s">
        <v>124</v>
      </c>
      <c r="F7" s="30" t="s">
        <v>125</v>
      </c>
    </row>
    <row r="8" spans="1:6" ht="66" x14ac:dyDescent="0.3">
      <c r="A8" s="28" t="s">
        <v>126</v>
      </c>
      <c r="B8" s="29" t="s">
        <v>127</v>
      </c>
      <c r="C8" s="28" t="s">
        <v>128</v>
      </c>
      <c r="D8" s="30" t="s">
        <v>129</v>
      </c>
      <c r="E8" s="30" t="s">
        <v>130</v>
      </c>
      <c r="F8" s="30" t="s">
        <v>131</v>
      </c>
    </row>
    <row r="9" spans="1:6" ht="66" x14ac:dyDescent="0.3">
      <c r="A9" s="28" t="s">
        <v>132</v>
      </c>
      <c r="B9" s="29" t="s">
        <v>133</v>
      </c>
      <c r="C9" s="28" t="s">
        <v>134</v>
      </c>
      <c r="D9" s="30" t="s">
        <v>135</v>
      </c>
      <c r="E9" s="30" t="s">
        <v>136</v>
      </c>
      <c r="F9" s="30" t="s">
        <v>137</v>
      </c>
    </row>
    <row r="10" spans="1:6" ht="52.8" x14ac:dyDescent="0.3">
      <c r="A10" s="28" t="s">
        <v>138</v>
      </c>
      <c r="B10" s="29" t="s">
        <v>139</v>
      </c>
      <c r="C10" s="28" t="s">
        <v>140</v>
      </c>
      <c r="D10" s="30" t="s">
        <v>141</v>
      </c>
      <c r="E10" s="30" t="s">
        <v>142</v>
      </c>
      <c r="F10" s="30" t="s">
        <v>143</v>
      </c>
    </row>
    <row r="11" spans="1:6" ht="66" x14ac:dyDescent="0.3">
      <c r="A11" s="28" t="s">
        <v>144</v>
      </c>
      <c r="B11" s="29" t="s">
        <v>145</v>
      </c>
      <c r="C11" s="28" t="s">
        <v>146</v>
      </c>
      <c r="D11" s="30" t="s">
        <v>147</v>
      </c>
      <c r="E11" s="30" t="s">
        <v>148</v>
      </c>
      <c r="F11" s="30" t="s">
        <v>149</v>
      </c>
    </row>
    <row r="12" spans="1:6" ht="52.8" x14ac:dyDescent="0.3">
      <c r="A12" s="28" t="s">
        <v>150</v>
      </c>
      <c r="B12" s="29" t="s">
        <v>151</v>
      </c>
      <c r="C12" s="28" t="s">
        <v>152</v>
      </c>
      <c r="D12" s="30" t="s">
        <v>153</v>
      </c>
      <c r="E12" s="30" t="s">
        <v>154</v>
      </c>
      <c r="F12" s="30" t="s">
        <v>155</v>
      </c>
    </row>
    <row r="13" spans="1:6" ht="66" x14ac:dyDescent="0.3">
      <c r="A13" s="28" t="s">
        <v>156</v>
      </c>
      <c r="B13" s="29" t="s">
        <v>157</v>
      </c>
      <c r="C13" s="28" t="s">
        <v>158</v>
      </c>
      <c r="D13" s="30" t="s">
        <v>159</v>
      </c>
      <c r="E13" s="30" t="s">
        <v>160</v>
      </c>
      <c r="F13" s="30" t="s">
        <v>161</v>
      </c>
    </row>
    <row r="14" spans="1:6" ht="39.6" x14ac:dyDescent="0.3">
      <c r="A14" s="28" t="s">
        <v>162</v>
      </c>
      <c r="B14" s="29" t="s">
        <v>163</v>
      </c>
      <c r="C14" s="28" t="s">
        <v>164</v>
      </c>
      <c r="D14" s="30" t="s">
        <v>165</v>
      </c>
      <c r="E14" s="30" t="s">
        <v>166</v>
      </c>
      <c r="F14" s="30" t="s">
        <v>167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DC63-880C-4C7A-BD99-15B2870A7881}">
  <dimension ref="A1:Q90"/>
  <sheetViews>
    <sheetView topLeftCell="A46" zoomScale="90" zoomScaleNormal="90" workbookViewId="0">
      <selection activeCell="P10" sqref="P10"/>
    </sheetView>
  </sheetViews>
  <sheetFormatPr defaultRowHeight="14.4" x14ac:dyDescent="0.3"/>
  <cols>
    <col min="1" max="1" width="6.109375" bestFit="1" customWidth="1"/>
    <col min="2" max="2" width="10.5546875" bestFit="1" customWidth="1"/>
    <col min="3" max="3" width="59.6640625" bestFit="1" customWidth="1"/>
    <col min="4" max="4" width="4.109375" bestFit="1" customWidth="1"/>
    <col min="5" max="5" width="13.33203125" bestFit="1" customWidth="1"/>
    <col min="6" max="6" width="66.109375" bestFit="1" customWidth="1"/>
    <col min="7" max="7" width="10.5546875" bestFit="1" customWidth="1"/>
    <col min="8" max="8" width="22" bestFit="1" customWidth="1"/>
    <col min="9" max="9" width="17.6640625" bestFit="1" customWidth="1"/>
    <col min="10" max="10" width="15.109375" bestFit="1" customWidth="1"/>
    <col min="11" max="11" width="13.6640625" bestFit="1" customWidth="1"/>
    <col min="12" max="12" width="10.109375" bestFit="1" customWidth="1"/>
  </cols>
  <sheetData>
    <row r="1" spans="1:16" x14ac:dyDescent="0.3">
      <c r="A1" s="44" t="s">
        <v>102</v>
      </c>
      <c r="B1" s="44" t="s">
        <v>170</v>
      </c>
      <c r="C1" s="44" t="s">
        <v>169</v>
      </c>
      <c r="D1" s="44" t="s">
        <v>168</v>
      </c>
      <c r="E1" s="44" t="s">
        <v>177</v>
      </c>
      <c r="F1" s="44" t="s">
        <v>230</v>
      </c>
      <c r="G1" s="44" t="s">
        <v>174</v>
      </c>
      <c r="H1" s="44" t="s">
        <v>178</v>
      </c>
      <c r="I1" s="44" t="s">
        <v>254</v>
      </c>
      <c r="J1" s="49" t="s">
        <v>253</v>
      </c>
      <c r="K1" s="49" t="s">
        <v>250</v>
      </c>
    </row>
    <row r="2" spans="1:16" x14ac:dyDescent="0.3">
      <c r="A2" s="42" t="s">
        <v>108</v>
      </c>
      <c r="B2" s="42">
        <v>1</v>
      </c>
      <c r="C2" s="43" t="s">
        <v>208</v>
      </c>
      <c r="D2" s="42">
        <v>1</v>
      </c>
      <c r="E2" s="41"/>
      <c r="F2" s="52" t="s">
        <v>285</v>
      </c>
      <c r="G2" s="42"/>
      <c r="H2" s="42"/>
      <c r="I2" s="42"/>
      <c r="J2" s="41"/>
      <c r="K2" s="41">
        <f>K3+K11+K41</f>
        <v>1333.81</v>
      </c>
    </row>
    <row r="3" spans="1:16" x14ac:dyDescent="0.3">
      <c r="A3" s="36" t="s">
        <v>207</v>
      </c>
      <c r="B3" s="36">
        <v>2</v>
      </c>
      <c r="C3" s="37" t="s">
        <v>206</v>
      </c>
      <c r="D3" s="36"/>
      <c r="E3" s="35"/>
      <c r="F3" s="36"/>
      <c r="G3" s="36"/>
      <c r="H3" s="40"/>
      <c r="I3" s="36"/>
      <c r="J3" s="35"/>
      <c r="K3" s="35">
        <f>SUM(K4:K10)+SUM(J4:J10)</f>
        <v>1094.8399999999999</v>
      </c>
    </row>
    <row r="4" spans="1:16" x14ac:dyDescent="0.3">
      <c r="A4" s="33" t="s">
        <v>205</v>
      </c>
      <c r="B4" s="33">
        <v>3</v>
      </c>
      <c r="C4" s="34" t="s">
        <v>173</v>
      </c>
      <c r="D4" s="33">
        <v>2</v>
      </c>
      <c r="E4" s="32">
        <v>74</v>
      </c>
      <c r="F4" s="33" t="s">
        <v>204</v>
      </c>
      <c r="G4" s="38" t="s">
        <v>176</v>
      </c>
      <c r="H4" s="39">
        <v>46237</v>
      </c>
      <c r="I4" s="60" t="s">
        <v>316</v>
      </c>
      <c r="J4" s="32">
        <v>2.4424999999999999</v>
      </c>
      <c r="K4" s="32">
        <f>D4*E4</f>
        <v>148</v>
      </c>
    </row>
    <row r="5" spans="1:16" x14ac:dyDescent="0.3">
      <c r="A5" s="33" t="s">
        <v>203</v>
      </c>
      <c r="B5" s="33">
        <v>3</v>
      </c>
      <c r="C5" s="34" t="s">
        <v>172</v>
      </c>
      <c r="D5" s="33">
        <v>2</v>
      </c>
      <c r="E5" s="32">
        <v>94</v>
      </c>
      <c r="F5" s="33" t="s">
        <v>202</v>
      </c>
      <c r="G5" s="38" t="s">
        <v>176</v>
      </c>
      <c r="H5" s="39">
        <v>46237</v>
      </c>
      <c r="I5" s="60" t="s">
        <v>316</v>
      </c>
      <c r="J5" s="32">
        <v>2.4424999999999999</v>
      </c>
      <c r="K5" s="32">
        <f>D5*E5</f>
        <v>188</v>
      </c>
    </row>
    <row r="6" spans="1:16" x14ac:dyDescent="0.3">
      <c r="A6" s="33" t="s">
        <v>201</v>
      </c>
      <c r="B6" s="33">
        <v>3</v>
      </c>
      <c r="C6" s="34" t="s">
        <v>175</v>
      </c>
      <c r="D6" s="33">
        <v>1</v>
      </c>
      <c r="E6" s="32">
        <v>219</v>
      </c>
      <c r="F6" s="33" t="s">
        <v>200</v>
      </c>
      <c r="G6" s="38" t="s">
        <v>176</v>
      </c>
      <c r="H6" s="39">
        <v>46213</v>
      </c>
      <c r="I6" s="60" t="s">
        <v>315</v>
      </c>
      <c r="J6" s="32">
        <v>2.4424999999999999</v>
      </c>
      <c r="K6" s="32">
        <f>D6*E6</f>
        <v>219</v>
      </c>
    </row>
    <row r="7" spans="1:16" ht="28.8" x14ac:dyDescent="0.3">
      <c r="A7" s="33" t="s">
        <v>199</v>
      </c>
      <c r="B7" s="33">
        <v>3</v>
      </c>
      <c r="C7" s="34" t="s">
        <v>171</v>
      </c>
      <c r="D7" s="33">
        <v>3</v>
      </c>
      <c r="E7" s="32">
        <v>29</v>
      </c>
      <c r="F7" s="33" t="s">
        <v>198</v>
      </c>
      <c r="G7" s="38" t="s">
        <v>176</v>
      </c>
      <c r="H7" s="61" t="s">
        <v>314</v>
      </c>
      <c r="I7" s="62" t="s">
        <v>317</v>
      </c>
      <c r="J7" s="32">
        <v>11.07</v>
      </c>
      <c r="K7" s="32">
        <f>D7*E7</f>
        <v>87</v>
      </c>
    </row>
    <row r="8" spans="1:16" x14ac:dyDescent="0.3">
      <c r="A8" s="33"/>
      <c r="B8" s="33"/>
      <c r="C8" s="34"/>
      <c r="D8" s="33"/>
      <c r="E8" s="32"/>
      <c r="F8" s="33"/>
      <c r="G8" s="38"/>
      <c r="H8" s="39"/>
      <c r="I8" s="33"/>
      <c r="J8" s="32"/>
      <c r="K8" s="32"/>
    </row>
    <row r="9" spans="1:16" x14ac:dyDescent="0.3">
      <c r="A9" s="33" t="s">
        <v>197</v>
      </c>
      <c r="B9" s="33">
        <v>3</v>
      </c>
      <c r="C9" s="34" t="s">
        <v>183</v>
      </c>
      <c r="D9" s="33">
        <v>3</v>
      </c>
      <c r="E9" s="32">
        <v>65</v>
      </c>
      <c r="F9" s="33" t="s">
        <v>319</v>
      </c>
      <c r="G9" s="46" t="s">
        <v>176</v>
      </c>
      <c r="H9" s="39">
        <v>46213</v>
      </c>
      <c r="I9" s="60" t="s">
        <v>313</v>
      </c>
      <c r="J9" s="51">
        <v>30</v>
      </c>
      <c r="K9" s="32">
        <f>D9*E9</f>
        <v>195</v>
      </c>
    </row>
    <row r="10" spans="1:16" x14ac:dyDescent="0.3">
      <c r="A10" s="33" t="s">
        <v>256</v>
      </c>
      <c r="B10" s="33">
        <v>3</v>
      </c>
      <c r="C10" s="34" t="s">
        <v>181</v>
      </c>
      <c r="D10" s="33">
        <v>3</v>
      </c>
      <c r="E10" s="32">
        <v>69</v>
      </c>
      <c r="F10" s="33" t="s">
        <v>180</v>
      </c>
      <c r="G10" s="38" t="s">
        <v>176</v>
      </c>
      <c r="H10" s="39">
        <v>46237</v>
      </c>
      <c r="I10" s="60" t="s">
        <v>313</v>
      </c>
      <c r="J10" s="32">
        <v>2.4424999999999999</v>
      </c>
      <c r="K10" s="32">
        <f>D10*E10</f>
        <v>207</v>
      </c>
      <c r="P10" s="65"/>
    </row>
    <row r="11" spans="1:16" x14ac:dyDescent="0.3">
      <c r="A11" s="36" t="s">
        <v>196</v>
      </c>
      <c r="B11" s="36">
        <v>2</v>
      </c>
      <c r="C11" s="37" t="s">
        <v>195</v>
      </c>
      <c r="D11" s="36">
        <v>1</v>
      </c>
      <c r="E11" s="35" t="s">
        <v>235</v>
      </c>
      <c r="F11" s="36"/>
      <c r="G11" s="36"/>
      <c r="H11" s="36"/>
      <c r="I11" s="36"/>
      <c r="J11" s="35"/>
      <c r="K11" s="35">
        <f>SUM(K12:K40)+SUM(J12:J40)</f>
        <v>135.47999999999999</v>
      </c>
    </row>
    <row r="12" spans="1:16" x14ac:dyDescent="0.3">
      <c r="A12" s="33" t="s">
        <v>194</v>
      </c>
      <c r="B12" s="33">
        <v>3</v>
      </c>
      <c r="C12" s="34" t="s">
        <v>210</v>
      </c>
      <c r="D12" s="33">
        <v>39</v>
      </c>
      <c r="E12" s="32">
        <v>7.21</v>
      </c>
      <c r="F12" s="33" t="s">
        <v>240</v>
      </c>
      <c r="G12" s="45" t="s">
        <v>176</v>
      </c>
      <c r="H12" s="39">
        <v>46230</v>
      </c>
      <c r="I12" s="33">
        <v>1</v>
      </c>
      <c r="J12" s="69">
        <v>7.68</v>
      </c>
      <c r="K12" s="32">
        <f>I12*E12</f>
        <v>7.21</v>
      </c>
    </row>
    <row r="13" spans="1:16" x14ac:dyDescent="0.3">
      <c r="A13" s="54"/>
      <c r="B13" s="54"/>
      <c r="C13" s="55"/>
      <c r="D13" s="54"/>
      <c r="E13" s="56"/>
      <c r="F13" s="54"/>
      <c r="G13" s="54"/>
      <c r="H13" s="58"/>
      <c r="I13" s="54"/>
      <c r="J13" s="91"/>
      <c r="K13" s="56"/>
    </row>
    <row r="14" spans="1:16" x14ac:dyDescent="0.3">
      <c r="A14" s="33" t="s">
        <v>193</v>
      </c>
      <c r="B14" s="33">
        <v>3</v>
      </c>
      <c r="C14" s="34" t="s">
        <v>211</v>
      </c>
      <c r="D14" s="33">
        <v>78</v>
      </c>
      <c r="E14" s="32">
        <v>12.99</v>
      </c>
      <c r="F14" s="33" t="s">
        <v>239</v>
      </c>
      <c r="G14" s="46" t="s">
        <v>176</v>
      </c>
      <c r="H14" s="39">
        <v>46230</v>
      </c>
      <c r="I14" s="33">
        <v>3</v>
      </c>
      <c r="J14" s="92"/>
      <c r="K14" s="32">
        <f>I14*E14</f>
        <v>38.97</v>
      </c>
    </row>
    <row r="15" spans="1:16" x14ac:dyDescent="0.3">
      <c r="A15" s="33" t="s">
        <v>192</v>
      </c>
      <c r="B15" s="33">
        <v>3</v>
      </c>
      <c r="C15" s="34" t="s">
        <v>212</v>
      </c>
      <c r="D15" s="33">
        <v>4</v>
      </c>
      <c r="E15" s="32">
        <v>9.99</v>
      </c>
      <c r="F15" s="33" t="s">
        <v>238</v>
      </c>
      <c r="G15" s="46" t="s">
        <v>176</v>
      </c>
      <c r="H15" s="39">
        <v>46230</v>
      </c>
      <c r="I15" s="33">
        <v>1</v>
      </c>
      <c r="J15" s="92"/>
      <c r="K15" s="32">
        <f t="shared" ref="K15:K25" si="0">I15*E15</f>
        <v>9.99</v>
      </c>
    </row>
    <row r="16" spans="1:16" x14ac:dyDescent="0.3">
      <c r="A16" s="33" t="s">
        <v>191</v>
      </c>
      <c r="B16" s="33">
        <v>3</v>
      </c>
      <c r="C16" s="34" t="s">
        <v>213</v>
      </c>
      <c r="D16" s="33">
        <v>2</v>
      </c>
      <c r="E16" s="32">
        <v>9.7899999999999991</v>
      </c>
      <c r="F16" s="33" t="s">
        <v>237</v>
      </c>
      <c r="G16" s="46" t="s">
        <v>176</v>
      </c>
      <c r="H16" s="39">
        <v>46230</v>
      </c>
      <c r="I16" s="33">
        <v>1</v>
      </c>
      <c r="J16" s="92"/>
      <c r="K16" s="32">
        <f t="shared" si="0"/>
        <v>9.7899999999999991</v>
      </c>
    </row>
    <row r="17" spans="1:11" x14ac:dyDescent="0.3">
      <c r="A17" s="54"/>
      <c r="B17" s="54"/>
      <c r="C17" s="55"/>
      <c r="D17" s="54"/>
      <c r="E17" s="56"/>
      <c r="F17" s="54"/>
      <c r="G17" s="54"/>
      <c r="H17" s="54"/>
      <c r="I17" s="54"/>
      <c r="J17" s="91"/>
      <c r="K17" s="56"/>
    </row>
    <row r="18" spans="1:11" x14ac:dyDescent="0.3">
      <c r="A18" s="33" t="s">
        <v>190</v>
      </c>
      <c r="B18" s="33">
        <v>3</v>
      </c>
      <c r="C18" s="34" t="s">
        <v>215</v>
      </c>
      <c r="D18" s="33">
        <v>17</v>
      </c>
      <c r="E18" s="32">
        <v>6.99</v>
      </c>
      <c r="F18" s="33" t="s">
        <v>236</v>
      </c>
      <c r="G18" s="46" t="s">
        <v>176</v>
      </c>
      <c r="H18" s="39">
        <v>46230</v>
      </c>
      <c r="I18" s="33">
        <v>1</v>
      </c>
      <c r="J18" s="92"/>
      <c r="K18" s="32">
        <f t="shared" si="0"/>
        <v>6.99</v>
      </c>
    </row>
    <row r="19" spans="1:11" x14ac:dyDescent="0.3">
      <c r="A19" s="33" t="s">
        <v>189</v>
      </c>
      <c r="B19" s="33">
        <v>3</v>
      </c>
      <c r="C19" s="34" t="s">
        <v>216</v>
      </c>
      <c r="D19" s="33">
        <v>5</v>
      </c>
      <c r="E19" s="32">
        <v>8.99</v>
      </c>
      <c r="F19" s="33" t="s">
        <v>241</v>
      </c>
      <c r="G19" s="46" t="s">
        <v>176</v>
      </c>
      <c r="H19" s="39">
        <v>46230</v>
      </c>
      <c r="I19" s="33">
        <v>1</v>
      </c>
      <c r="J19" s="92"/>
      <c r="K19" s="32">
        <f t="shared" si="0"/>
        <v>8.99</v>
      </c>
    </row>
    <row r="20" spans="1:11" x14ac:dyDescent="0.3">
      <c r="A20" s="54"/>
      <c r="B20" s="54"/>
      <c r="C20" s="55"/>
      <c r="D20" s="54"/>
      <c r="E20" s="56"/>
      <c r="F20" s="54"/>
      <c r="G20" s="54"/>
      <c r="H20" s="54"/>
      <c r="I20" s="54"/>
      <c r="J20" s="91"/>
      <c r="K20" s="56"/>
    </row>
    <row r="21" spans="1:11" x14ac:dyDescent="0.3">
      <c r="A21" s="47" t="s">
        <v>188</v>
      </c>
      <c r="B21" s="33">
        <v>3</v>
      </c>
      <c r="C21" s="34" t="s">
        <v>214</v>
      </c>
      <c r="D21" s="33">
        <v>8</v>
      </c>
      <c r="E21" s="32">
        <v>7.79</v>
      </c>
      <c r="F21" s="33" t="s">
        <v>242</v>
      </c>
      <c r="G21" s="46" t="s">
        <v>176</v>
      </c>
      <c r="H21" s="39">
        <v>46230</v>
      </c>
      <c r="I21" s="33">
        <v>2</v>
      </c>
      <c r="J21" s="92"/>
      <c r="K21" s="32">
        <f t="shared" si="0"/>
        <v>15.58</v>
      </c>
    </row>
    <row r="22" spans="1:11" x14ac:dyDescent="0.3">
      <c r="A22" s="47" t="s">
        <v>187</v>
      </c>
      <c r="B22" s="33">
        <v>3</v>
      </c>
      <c r="C22" s="34" t="s">
        <v>217</v>
      </c>
      <c r="D22" s="33">
        <v>9</v>
      </c>
      <c r="E22" s="69">
        <v>22.99</v>
      </c>
      <c r="F22" s="47" t="s">
        <v>247</v>
      </c>
      <c r="G22" s="85" t="s">
        <v>176</v>
      </c>
      <c r="H22" s="87">
        <v>46230</v>
      </c>
      <c r="I22" s="89">
        <v>1</v>
      </c>
      <c r="J22" s="92"/>
      <c r="K22" s="69">
        <f t="shared" si="0"/>
        <v>22.99</v>
      </c>
    </row>
    <row r="23" spans="1:11" x14ac:dyDescent="0.3">
      <c r="A23" s="47" t="s">
        <v>186</v>
      </c>
      <c r="B23" s="33">
        <v>3</v>
      </c>
      <c r="C23" s="34" t="s">
        <v>221</v>
      </c>
      <c r="D23" s="33">
        <v>7</v>
      </c>
      <c r="E23" s="70"/>
      <c r="F23" s="47" t="s">
        <v>255</v>
      </c>
      <c r="G23" s="86"/>
      <c r="H23" s="88"/>
      <c r="I23" s="90"/>
      <c r="J23" s="92"/>
      <c r="K23" s="70"/>
    </row>
    <row r="24" spans="1:11" x14ac:dyDescent="0.3">
      <c r="A24" s="47" t="s">
        <v>185</v>
      </c>
      <c r="B24" s="33">
        <v>3</v>
      </c>
      <c r="C24" s="34" t="s">
        <v>243</v>
      </c>
      <c r="D24" s="33">
        <v>4</v>
      </c>
      <c r="E24" s="32"/>
      <c r="F24" s="47" t="s">
        <v>249</v>
      </c>
      <c r="G24" s="33"/>
      <c r="H24" s="47" t="s">
        <v>248</v>
      </c>
      <c r="I24" s="33"/>
      <c r="J24" s="92"/>
      <c r="K24" s="32"/>
    </row>
    <row r="25" spans="1:11" x14ac:dyDescent="0.3">
      <c r="A25" s="47" t="s">
        <v>218</v>
      </c>
      <c r="B25" s="33">
        <v>3</v>
      </c>
      <c r="C25" s="50" t="s">
        <v>251</v>
      </c>
      <c r="D25" s="33">
        <v>1</v>
      </c>
      <c r="E25" s="32">
        <v>7.29</v>
      </c>
      <c r="F25" s="47" t="s">
        <v>252</v>
      </c>
      <c r="G25" s="46" t="s">
        <v>176</v>
      </c>
      <c r="H25" s="39">
        <v>46230</v>
      </c>
      <c r="I25" s="33">
        <v>1</v>
      </c>
      <c r="J25" s="92"/>
      <c r="K25" s="32">
        <f t="shared" si="0"/>
        <v>7.29</v>
      </c>
    </row>
    <row r="26" spans="1:11" x14ac:dyDescent="0.3">
      <c r="A26" s="47" t="s">
        <v>219</v>
      </c>
      <c r="B26" s="33">
        <v>3</v>
      </c>
      <c r="C26" s="34" t="s">
        <v>234</v>
      </c>
      <c r="D26" s="33">
        <v>1</v>
      </c>
      <c r="E26" s="32">
        <v>21.45</v>
      </c>
      <c r="F26" s="47" t="s">
        <v>246</v>
      </c>
      <c r="G26" s="46" t="s">
        <v>176</v>
      </c>
      <c r="H26" s="47" t="s">
        <v>248</v>
      </c>
      <c r="I26" s="33"/>
      <c r="J26" s="70"/>
      <c r="K26" s="32"/>
    </row>
    <row r="27" spans="1:11" x14ac:dyDescent="0.3">
      <c r="A27" s="54"/>
      <c r="B27" s="54"/>
      <c r="C27" s="55"/>
      <c r="D27" s="54"/>
      <c r="E27" s="56"/>
      <c r="F27" s="57"/>
      <c r="G27" s="54"/>
      <c r="H27" s="54"/>
      <c r="I27" s="54"/>
      <c r="J27" s="56"/>
      <c r="K27" s="56"/>
    </row>
    <row r="28" spans="1:11" x14ac:dyDescent="0.3">
      <c r="A28" s="33" t="s">
        <v>220</v>
      </c>
      <c r="B28" s="33">
        <v>3</v>
      </c>
      <c r="C28" s="50" t="s">
        <v>261</v>
      </c>
      <c r="D28" s="33">
        <v>1</v>
      </c>
      <c r="E28" s="32"/>
      <c r="F28" s="71" t="s">
        <v>233</v>
      </c>
      <c r="G28" s="72"/>
      <c r="H28" s="72"/>
      <c r="I28" s="72"/>
      <c r="J28" s="72"/>
      <c r="K28" s="73"/>
    </row>
    <row r="29" spans="1:11" x14ac:dyDescent="0.3">
      <c r="A29" s="33" t="s">
        <v>222</v>
      </c>
      <c r="B29" s="33">
        <v>3</v>
      </c>
      <c r="C29" s="50" t="s">
        <v>262</v>
      </c>
      <c r="D29" s="33">
        <v>1</v>
      </c>
      <c r="E29" s="32"/>
      <c r="F29" s="74"/>
      <c r="G29" s="75"/>
      <c r="H29" s="75"/>
      <c r="I29" s="75"/>
      <c r="J29" s="75"/>
      <c r="K29" s="76"/>
    </row>
    <row r="30" spans="1:11" x14ac:dyDescent="0.3">
      <c r="A30" s="33" t="s">
        <v>223</v>
      </c>
      <c r="B30" s="33">
        <v>3</v>
      </c>
      <c r="C30" s="50" t="s">
        <v>263</v>
      </c>
      <c r="D30" s="33">
        <v>78</v>
      </c>
      <c r="E30" s="32"/>
      <c r="F30" s="74"/>
      <c r="G30" s="75"/>
      <c r="H30" s="75"/>
      <c r="I30" s="75"/>
      <c r="J30" s="75"/>
      <c r="K30" s="76"/>
    </row>
    <row r="31" spans="1:11" x14ac:dyDescent="0.3">
      <c r="A31" s="33" t="s">
        <v>224</v>
      </c>
      <c r="B31" s="33">
        <v>3</v>
      </c>
      <c r="C31" s="50" t="s">
        <v>264</v>
      </c>
      <c r="D31" s="33">
        <v>39</v>
      </c>
      <c r="E31" s="32"/>
      <c r="F31" s="74"/>
      <c r="G31" s="75"/>
      <c r="H31" s="75"/>
      <c r="I31" s="75"/>
      <c r="J31" s="75"/>
      <c r="K31" s="76"/>
    </row>
    <row r="32" spans="1:11" x14ac:dyDescent="0.3">
      <c r="A32" s="33" t="s">
        <v>225</v>
      </c>
      <c r="B32" s="33">
        <v>3</v>
      </c>
      <c r="C32" s="50" t="s">
        <v>265</v>
      </c>
      <c r="D32" s="33">
        <v>2</v>
      </c>
      <c r="E32" s="32"/>
      <c r="F32" s="74"/>
      <c r="G32" s="75"/>
      <c r="H32" s="75"/>
      <c r="I32" s="75"/>
      <c r="J32" s="75"/>
      <c r="K32" s="76"/>
    </row>
    <row r="33" spans="1:17" x14ac:dyDescent="0.3">
      <c r="A33" s="33" t="s">
        <v>226</v>
      </c>
      <c r="B33" s="33">
        <v>3</v>
      </c>
      <c r="C33" s="50" t="s">
        <v>266</v>
      </c>
      <c r="D33" s="33">
        <v>2</v>
      </c>
      <c r="E33" s="32"/>
      <c r="F33" s="74"/>
      <c r="G33" s="75"/>
      <c r="H33" s="75"/>
      <c r="I33" s="75"/>
      <c r="J33" s="75"/>
      <c r="K33" s="76"/>
    </row>
    <row r="34" spans="1:17" x14ac:dyDescent="0.3">
      <c r="A34" s="33" t="s">
        <v>227</v>
      </c>
      <c r="B34" s="33">
        <v>3</v>
      </c>
      <c r="C34" s="50" t="s">
        <v>267</v>
      </c>
      <c r="D34" s="33">
        <v>1</v>
      </c>
      <c r="E34" s="32"/>
      <c r="F34" s="74"/>
      <c r="G34" s="75"/>
      <c r="H34" s="75"/>
      <c r="I34" s="75"/>
      <c r="J34" s="75"/>
      <c r="K34" s="76"/>
    </row>
    <row r="35" spans="1:17" x14ac:dyDescent="0.3">
      <c r="A35" s="33" t="s">
        <v>228</v>
      </c>
      <c r="B35" s="33">
        <v>3</v>
      </c>
      <c r="C35" s="50" t="s">
        <v>268</v>
      </c>
      <c r="D35" s="33">
        <v>1</v>
      </c>
      <c r="E35" s="32"/>
      <c r="F35" s="74"/>
      <c r="G35" s="75"/>
      <c r="H35" s="75"/>
      <c r="I35" s="75"/>
      <c r="J35" s="75"/>
      <c r="K35" s="76"/>
    </row>
    <row r="36" spans="1:17" x14ac:dyDescent="0.3">
      <c r="A36" s="33" t="s">
        <v>229</v>
      </c>
      <c r="B36" s="33">
        <v>3</v>
      </c>
      <c r="C36" s="50" t="s">
        <v>269</v>
      </c>
      <c r="D36" s="33">
        <v>1</v>
      </c>
      <c r="E36" s="32"/>
      <c r="F36" s="74"/>
      <c r="G36" s="75"/>
      <c r="H36" s="75"/>
      <c r="I36" s="75"/>
      <c r="J36" s="75"/>
      <c r="K36" s="76"/>
    </row>
    <row r="37" spans="1:17" x14ac:dyDescent="0.3">
      <c r="A37" s="33" t="s">
        <v>231</v>
      </c>
      <c r="B37" s="33">
        <v>3</v>
      </c>
      <c r="C37" s="50" t="s">
        <v>270</v>
      </c>
      <c r="D37" s="33">
        <v>1</v>
      </c>
      <c r="E37" s="32"/>
      <c r="F37" s="74"/>
      <c r="G37" s="75"/>
      <c r="H37" s="75"/>
      <c r="I37" s="75"/>
      <c r="J37" s="75"/>
      <c r="K37" s="76"/>
      <c r="Q37" s="48"/>
    </row>
    <row r="38" spans="1:17" x14ac:dyDescent="0.3">
      <c r="A38" s="33" t="s">
        <v>232</v>
      </c>
      <c r="B38" s="33">
        <v>3</v>
      </c>
      <c r="C38" s="50" t="s">
        <v>271</v>
      </c>
      <c r="D38" s="33">
        <v>1</v>
      </c>
      <c r="E38" s="32"/>
      <c r="F38" s="74"/>
      <c r="G38" s="75"/>
      <c r="H38" s="75"/>
      <c r="I38" s="75"/>
      <c r="J38" s="75"/>
      <c r="K38" s="76"/>
    </row>
    <row r="39" spans="1:17" x14ac:dyDescent="0.3">
      <c r="A39" s="33" t="s">
        <v>244</v>
      </c>
      <c r="B39" s="33">
        <v>3</v>
      </c>
      <c r="C39" s="50" t="s">
        <v>271</v>
      </c>
      <c r="D39" s="33">
        <v>1</v>
      </c>
      <c r="E39" s="32"/>
      <c r="F39" s="74"/>
      <c r="G39" s="75"/>
      <c r="H39" s="75"/>
      <c r="I39" s="75"/>
      <c r="J39" s="75"/>
      <c r="K39" s="76"/>
    </row>
    <row r="40" spans="1:17" x14ac:dyDescent="0.3">
      <c r="A40" s="33" t="s">
        <v>245</v>
      </c>
      <c r="B40" s="33">
        <v>3</v>
      </c>
      <c r="C40" s="50" t="s">
        <v>272</v>
      </c>
      <c r="D40" s="33">
        <v>1</v>
      </c>
      <c r="E40" s="32"/>
      <c r="F40" s="77"/>
      <c r="G40" s="78"/>
      <c r="H40" s="78"/>
      <c r="I40" s="78"/>
      <c r="J40" s="78"/>
      <c r="K40" s="79"/>
    </row>
    <row r="41" spans="1:17" x14ac:dyDescent="0.3">
      <c r="A41" s="36">
        <v>1.3</v>
      </c>
      <c r="B41" s="36">
        <v>2</v>
      </c>
      <c r="C41" s="37" t="s">
        <v>209</v>
      </c>
      <c r="D41" s="36">
        <v>2</v>
      </c>
      <c r="E41" s="35" t="s">
        <v>235</v>
      </c>
      <c r="F41" s="36"/>
      <c r="G41" s="36"/>
      <c r="H41" s="36"/>
      <c r="I41" s="36"/>
      <c r="J41" s="35"/>
      <c r="K41" s="35">
        <f>SUM(K42:K56)+SUM(J42:J56)</f>
        <v>103.49</v>
      </c>
    </row>
    <row r="42" spans="1:17" x14ac:dyDescent="0.3">
      <c r="A42" s="47" t="s">
        <v>184</v>
      </c>
      <c r="B42" s="33">
        <v>3</v>
      </c>
      <c r="C42" s="34" t="s">
        <v>210</v>
      </c>
      <c r="D42" s="33">
        <v>22</v>
      </c>
      <c r="E42" s="32">
        <v>7.21</v>
      </c>
      <c r="F42" s="33" t="s">
        <v>240</v>
      </c>
      <c r="G42" s="45" t="s">
        <v>176</v>
      </c>
      <c r="H42" s="63">
        <v>46237</v>
      </c>
      <c r="I42" s="33">
        <v>1</v>
      </c>
      <c r="J42" s="81">
        <v>5.87</v>
      </c>
      <c r="K42" s="32">
        <f>I42*E42</f>
        <v>7.21</v>
      </c>
    </row>
    <row r="43" spans="1:17" x14ac:dyDescent="0.3">
      <c r="A43" s="54"/>
      <c r="B43" s="54"/>
      <c r="C43" s="55"/>
      <c r="D43" s="54"/>
      <c r="E43" s="56"/>
      <c r="F43" s="54"/>
      <c r="G43" s="54"/>
      <c r="H43" s="58"/>
      <c r="I43" s="54"/>
      <c r="J43" s="82"/>
      <c r="K43" s="56"/>
    </row>
    <row r="44" spans="1:17" ht="28.8" x14ac:dyDescent="0.3">
      <c r="A44" s="47" t="s">
        <v>182</v>
      </c>
      <c r="B44" s="33">
        <v>3</v>
      </c>
      <c r="C44" s="34" t="s">
        <v>211</v>
      </c>
      <c r="D44" s="33">
        <v>44</v>
      </c>
      <c r="E44" s="32">
        <v>12.99</v>
      </c>
      <c r="F44" s="53" t="s">
        <v>289</v>
      </c>
      <c r="G44" s="46" t="s">
        <v>176</v>
      </c>
      <c r="H44" s="63">
        <v>46237</v>
      </c>
      <c r="I44" s="33">
        <v>3</v>
      </c>
      <c r="J44" s="83"/>
      <c r="K44" s="32">
        <f>I44*E44</f>
        <v>38.97</v>
      </c>
    </row>
    <row r="45" spans="1:17" ht="28.8" x14ac:dyDescent="0.3">
      <c r="A45" s="47" t="s">
        <v>179</v>
      </c>
      <c r="B45" s="33">
        <v>3</v>
      </c>
      <c r="C45" s="34" t="s">
        <v>212</v>
      </c>
      <c r="D45" s="33">
        <v>4</v>
      </c>
      <c r="E45" s="32">
        <v>8.09</v>
      </c>
      <c r="F45" s="53" t="s">
        <v>318</v>
      </c>
      <c r="G45" s="46" t="s">
        <v>176</v>
      </c>
      <c r="H45" s="63">
        <v>46237</v>
      </c>
      <c r="I45" s="33">
        <v>1</v>
      </c>
      <c r="J45" s="83"/>
      <c r="K45" s="32">
        <f t="shared" ref="K45:K46" si="1">I45*E45</f>
        <v>8.09</v>
      </c>
    </row>
    <row r="46" spans="1:17" ht="28.8" x14ac:dyDescent="0.3">
      <c r="A46" s="47" t="s">
        <v>291</v>
      </c>
      <c r="B46" s="33">
        <v>3</v>
      </c>
      <c r="C46" s="34" t="s">
        <v>213</v>
      </c>
      <c r="D46" s="33">
        <v>2</v>
      </c>
      <c r="E46" s="32">
        <v>9.99</v>
      </c>
      <c r="F46" s="53" t="s">
        <v>288</v>
      </c>
      <c r="G46" s="46" t="s">
        <v>176</v>
      </c>
      <c r="H46" s="63">
        <v>46237</v>
      </c>
      <c r="I46" s="33">
        <v>1</v>
      </c>
      <c r="J46" s="83"/>
      <c r="K46" s="32">
        <f t="shared" si="1"/>
        <v>9.99</v>
      </c>
    </row>
    <row r="47" spans="1:17" x14ac:dyDescent="0.3">
      <c r="A47" s="54"/>
      <c r="B47" s="54"/>
      <c r="C47" s="55"/>
      <c r="D47" s="54"/>
      <c r="E47" s="56"/>
      <c r="F47" s="54"/>
      <c r="G47" s="54"/>
      <c r="H47" s="54"/>
      <c r="I47" s="54"/>
      <c r="J47" s="82"/>
      <c r="K47" s="56"/>
    </row>
    <row r="48" spans="1:17" x14ac:dyDescent="0.3">
      <c r="A48" s="47" t="s">
        <v>292</v>
      </c>
      <c r="B48" s="33">
        <v>3</v>
      </c>
      <c r="C48" s="34" t="s">
        <v>215</v>
      </c>
      <c r="D48" s="33">
        <v>15</v>
      </c>
      <c r="E48" s="32">
        <v>6.99</v>
      </c>
      <c r="F48" s="47" t="s">
        <v>236</v>
      </c>
      <c r="G48" s="46" t="s">
        <v>176</v>
      </c>
      <c r="H48" s="39" t="s">
        <v>259</v>
      </c>
      <c r="I48" s="33"/>
      <c r="J48" s="83"/>
      <c r="K48" s="32">
        <f t="shared" ref="K48:K55" si="2">I48*E48</f>
        <v>0</v>
      </c>
    </row>
    <row r="49" spans="1:17" x14ac:dyDescent="0.3">
      <c r="A49" s="47" t="s">
        <v>293</v>
      </c>
      <c r="B49" s="33">
        <v>3</v>
      </c>
      <c r="C49" s="34" t="s">
        <v>216</v>
      </c>
      <c r="D49" s="33">
        <v>5</v>
      </c>
      <c r="E49" s="32">
        <v>8.99</v>
      </c>
      <c r="F49" s="33" t="s">
        <v>257</v>
      </c>
      <c r="G49" s="46" t="s">
        <v>176</v>
      </c>
      <c r="H49" s="39" t="s">
        <v>259</v>
      </c>
      <c r="I49" s="33"/>
      <c r="J49" s="83"/>
      <c r="K49" s="32">
        <f>I49*E49</f>
        <v>0</v>
      </c>
    </row>
    <row r="50" spans="1:17" x14ac:dyDescent="0.3">
      <c r="A50" s="59"/>
      <c r="B50" s="54"/>
      <c r="C50" s="55"/>
      <c r="D50" s="54"/>
      <c r="E50" s="56"/>
      <c r="F50" s="54"/>
      <c r="G50" s="54"/>
      <c r="H50" s="54"/>
      <c r="I50" s="54"/>
      <c r="J50" s="82"/>
      <c r="K50" s="56"/>
    </row>
    <row r="51" spans="1:17" ht="28.8" x14ac:dyDescent="0.3">
      <c r="A51" s="47" t="s">
        <v>294</v>
      </c>
      <c r="B51" s="33">
        <v>3</v>
      </c>
      <c r="C51" s="34" t="s">
        <v>214</v>
      </c>
      <c r="D51" s="33">
        <v>6</v>
      </c>
      <c r="E51" s="32">
        <v>7.79</v>
      </c>
      <c r="F51" s="53" t="s">
        <v>287</v>
      </c>
      <c r="G51" s="46" t="s">
        <v>176</v>
      </c>
      <c r="H51" s="63">
        <v>46237</v>
      </c>
      <c r="I51" s="33">
        <v>3</v>
      </c>
      <c r="J51" s="83"/>
      <c r="K51" s="32">
        <f t="shared" ref="K51:K52" si="3">I51*E51</f>
        <v>23.37</v>
      </c>
      <c r="Q51" s="31"/>
    </row>
    <row r="52" spans="1:17" x14ac:dyDescent="0.3">
      <c r="A52" s="47" t="s">
        <v>295</v>
      </c>
      <c r="B52" s="33">
        <v>3</v>
      </c>
      <c r="C52" s="34" t="s">
        <v>217</v>
      </c>
      <c r="D52" s="33">
        <v>9</v>
      </c>
      <c r="E52" s="69">
        <v>22.99</v>
      </c>
      <c r="F52" s="47" t="s">
        <v>260</v>
      </c>
      <c r="G52" s="85" t="s">
        <v>176</v>
      </c>
      <c r="H52" s="87" t="s">
        <v>259</v>
      </c>
      <c r="I52" s="89"/>
      <c r="J52" s="83"/>
      <c r="K52" s="69">
        <f t="shared" si="3"/>
        <v>0</v>
      </c>
    </row>
    <row r="53" spans="1:17" x14ac:dyDescent="0.3">
      <c r="A53" s="47" t="s">
        <v>296</v>
      </c>
      <c r="B53" s="33">
        <v>3</v>
      </c>
      <c r="C53" s="34" t="s">
        <v>221</v>
      </c>
      <c r="D53" s="33">
        <v>7</v>
      </c>
      <c r="E53" s="70"/>
      <c r="F53" s="47" t="s">
        <v>255</v>
      </c>
      <c r="G53" s="86"/>
      <c r="H53" s="88"/>
      <c r="I53" s="90"/>
      <c r="J53" s="83"/>
      <c r="K53" s="70"/>
    </row>
    <row r="54" spans="1:17" x14ac:dyDescent="0.3">
      <c r="A54" s="47" t="s">
        <v>297</v>
      </c>
      <c r="B54" s="33">
        <v>3</v>
      </c>
      <c r="C54" s="34" t="s">
        <v>243</v>
      </c>
      <c r="D54" s="33">
        <v>4</v>
      </c>
      <c r="E54" s="32">
        <v>9.99</v>
      </c>
      <c r="F54" s="47" t="s">
        <v>249</v>
      </c>
      <c r="G54" s="46" t="s">
        <v>176</v>
      </c>
      <c r="H54" s="63">
        <v>46237</v>
      </c>
      <c r="I54" s="33">
        <v>1</v>
      </c>
      <c r="J54" s="83"/>
      <c r="K54" s="32">
        <f>I54*E54</f>
        <v>9.99</v>
      </c>
    </row>
    <row r="55" spans="1:17" x14ac:dyDescent="0.3">
      <c r="A55" s="47" t="s">
        <v>298</v>
      </c>
      <c r="B55" s="33">
        <v>3</v>
      </c>
      <c r="C55" s="50" t="s">
        <v>251</v>
      </c>
      <c r="D55" s="33">
        <v>1</v>
      </c>
      <c r="E55" s="32">
        <v>7.29</v>
      </c>
      <c r="F55" s="47" t="s">
        <v>252</v>
      </c>
      <c r="G55" s="46" t="s">
        <v>176</v>
      </c>
      <c r="H55" s="39" t="s">
        <v>258</v>
      </c>
      <c r="I55" s="47"/>
      <c r="J55" s="83"/>
      <c r="K55" s="32">
        <f t="shared" si="2"/>
        <v>0</v>
      </c>
    </row>
    <row r="56" spans="1:17" x14ac:dyDescent="0.3">
      <c r="A56" s="47" t="s">
        <v>299</v>
      </c>
      <c r="B56" s="33">
        <v>3</v>
      </c>
      <c r="C56" s="34" t="s">
        <v>234</v>
      </c>
      <c r="D56" s="33">
        <v>1</v>
      </c>
      <c r="E56" s="32">
        <v>21.45</v>
      </c>
      <c r="F56" s="47" t="s">
        <v>286</v>
      </c>
      <c r="G56" s="46" t="s">
        <v>176</v>
      </c>
      <c r="H56" s="47" t="s">
        <v>248</v>
      </c>
      <c r="I56" s="33"/>
      <c r="J56" s="84"/>
      <c r="K56" s="32"/>
    </row>
    <row r="57" spans="1:17" x14ac:dyDescent="0.3">
      <c r="A57" s="54"/>
      <c r="B57" s="54"/>
      <c r="C57" s="55"/>
      <c r="D57" s="54"/>
      <c r="E57" s="56"/>
      <c r="F57" s="57"/>
      <c r="G57" s="54"/>
      <c r="H57" s="54"/>
      <c r="I57" s="54"/>
      <c r="J57" s="56"/>
      <c r="K57" s="56"/>
    </row>
    <row r="58" spans="1:17" x14ac:dyDescent="0.3">
      <c r="A58" s="47" t="s">
        <v>300</v>
      </c>
      <c r="B58" s="33">
        <v>3</v>
      </c>
      <c r="C58" s="50" t="s">
        <v>273</v>
      </c>
      <c r="D58" s="33">
        <v>1</v>
      </c>
      <c r="E58" s="32"/>
      <c r="F58" s="80" t="s">
        <v>290</v>
      </c>
      <c r="G58" s="72"/>
      <c r="H58" s="72"/>
      <c r="I58" s="72"/>
      <c r="J58" s="72"/>
      <c r="K58" s="73"/>
    </row>
    <row r="59" spans="1:17" x14ac:dyDescent="0.3">
      <c r="A59" s="47" t="s">
        <v>301</v>
      </c>
      <c r="B59" s="33">
        <v>3</v>
      </c>
      <c r="C59" s="50" t="s">
        <v>274</v>
      </c>
      <c r="D59" s="33">
        <v>1</v>
      </c>
      <c r="E59" s="32"/>
      <c r="F59" s="74"/>
      <c r="G59" s="75"/>
      <c r="H59" s="75"/>
      <c r="I59" s="75"/>
      <c r="J59" s="75"/>
      <c r="K59" s="76"/>
    </row>
    <row r="60" spans="1:17" x14ac:dyDescent="0.3">
      <c r="A60" s="47" t="s">
        <v>302</v>
      </c>
      <c r="B60" s="33">
        <v>3</v>
      </c>
      <c r="C60" s="50" t="s">
        <v>275</v>
      </c>
      <c r="D60" s="33">
        <v>44</v>
      </c>
      <c r="E60" s="32"/>
      <c r="F60" s="74"/>
      <c r="G60" s="75"/>
      <c r="H60" s="75"/>
      <c r="I60" s="75"/>
      <c r="J60" s="75"/>
      <c r="K60" s="76"/>
    </row>
    <row r="61" spans="1:17" x14ac:dyDescent="0.3">
      <c r="A61" s="47" t="s">
        <v>303</v>
      </c>
      <c r="B61" s="33">
        <v>3</v>
      </c>
      <c r="C61" s="50" t="s">
        <v>276</v>
      </c>
      <c r="D61" s="33">
        <v>22</v>
      </c>
      <c r="E61" s="32"/>
      <c r="F61" s="74"/>
      <c r="G61" s="75"/>
      <c r="H61" s="75"/>
      <c r="I61" s="75"/>
      <c r="J61" s="75"/>
      <c r="K61" s="76"/>
    </row>
    <row r="62" spans="1:17" x14ac:dyDescent="0.3">
      <c r="A62" s="47" t="s">
        <v>304</v>
      </c>
      <c r="B62" s="33">
        <v>3</v>
      </c>
      <c r="C62" s="50" t="s">
        <v>277</v>
      </c>
      <c r="D62" s="33">
        <v>2</v>
      </c>
      <c r="E62" s="32"/>
      <c r="F62" s="74"/>
      <c r="G62" s="75"/>
      <c r="H62" s="75"/>
      <c r="I62" s="75"/>
      <c r="J62" s="75"/>
      <c r="K62" s="76"/>
    </row>
    <row r="63" spans="1:17" x14ac:dyDescent="0.3">
      <c r="A63" s="47" t="s">
        <v>305</v>
      </c>
      <c r="B63" s="33">
        <v>3</v>
      </c>
      <c r="C63" s="50" t="s">
        <v>278</v>
      </c>
      <c r="D63" s="33">
        <v>2</v>
      </c>
      <c r="E63" s="32"/>
      <c r="F63" s="74"/>
      <c r="G63" s="75"/>
      <c r="H63" s="75"/>
      <c r="I63" s="75"/>
      <c r="J63" s="75"/>
      <c r="K63" s="76"/>
    </row>
    <row r="64" spans="1:17" x14ac:dyDescent="0.3">
      <c r="A64" s="47" t="s">
        <v>306</v>
      </c>
      <c r="B64" s="33">
        <v>3</v>
      </c>
      <c r="C64" s="50" t="s">
        <v>279</v>
      </c>
      <c r="D64" s="33">
        <v>1</v>
      </c>
      <c r="E64" s="32"/>
      <c r="F64" s="74"/>
      <c r="G64" s="75"/>
      <c r="H64" s="75"/>
      <c r="I64" s="75"/>
      <c r="J64" s="75"/>
      <c r="K64" s="76"/>
    </row>
    <row r="65" spans="1:11" x14ac:dyDescent="0.3">
      <c r="A65" s="47" t="s">
        <v>307</v>
      </c>
      <c r="B65" s="33">
        <v>3</v>
      </c>
      <c r="C65" s="50" t="s">
        <v>280</v>
      </c>
      <c r="D65" s="33">
        <v>1</v>
      </c>
      <c r="E65" s="32"/>
      <c r="F65" s="74"/>
      <c r="G65" s="75"/>
      <c r="H65" s="75"/>
      <c r="I65" s="75"/>
      <c r="J65" s="75"/>
      <c r="K65" s="76"/>
    </row>
    <row r="66" spans="1:11" x14ac:dyDescent="0.3">
      <c r="A66" s="47" t="s">
        <v>308</v>
      </c>
      <c r="B66" s="33">
        <v>3</v>
      </c>
      <c r="C66" s="50" t="s">
        <v>281</v>
      </c>
      <c r="D66" s="33">
        <v>1</v>
      </c>
      <c r="E66" s="32"/>
      <c r="F66" s="74"/>
      <c r="G66" s="75"/>
      <c r="H66" s="75"/>
      <c r="I66" s="75"/>
      <c r="J66" s="75"/>
      <c r="K66" s="76"/>
    </row>
    <row r="67" spans="1:11" x14ac:dyDescent="0.3">
      <c r="A67" s="47" t="s">
        <v>309</v>
      </c>
      <c r="B67" s="33">
        <v>3</v>
      </c>
      <c r="C67" s="50" t="s">
        <v>282</v>
      </c>
      <c r="D67" s="33">
        <v>1</v>
      </c>
      <c r="E67" s="32"/>
      <c r="F67" s="74"/>
      <c r="G67" s="75"/>
      <c r="H67" s="75"/>
      <c r="I67" s="75"/>
      <c r="J67" s="75"/>
      <c r="K67" s="76"/>
    </row>
    <row r="68" spans="1:11" x14ac:dyDescent="0.3">
      <c r="A68" s="47" t="s">
        <v>310</v>
      </c>
      <c r="B68" s="33">
        <v>3</v>
      </c>
      <c r="C68" s="50" t="s">
        <v>283</v>
      </c>
      <c r="D68" s="33">
        <v>1</v>
      </c>
      <c r="E68" s="32"/>
      <c r="F68" s="74"/>
      <c r="G68" s="75"/>
      <c r="H68" s="75"/>
      <c r="I68" s="75"/>
      <c r="J68" s="75"/>
      <c r="K68" s="76"/>
    </row>
    <row r="69" spans="1:11" x14ac:dyDescent="0.3">
      <c r="A69" s="47" t="s">
        <v>311</v>
      </c>
      <c r="B69" s="33">
        <v>3</v>
      </c>
      <c r="C69" s="50" t="s">
        <v>283</v>
      </c>
      <c r="D69" s="33">
        <v>1</v>
      </c>
      <c r="E69" s="32"/>
      <c r="F69" s="74"/>
      <c r="G69" s="75"/>
      <c r="H69" s="75"/>
      <c r="I69" s="75"/>
      <c r="J69" s="75"/>
      <c r="K69" s="76"/>
    </row>
    <row r="70" spans="1:11" x14ac:dyDescent="0.3">
      <c r="A70" s="47" t="s">
        <v>312</v>
      </c>
      <c r="B70" s="33">
        <v>3</v>
      </c>
      <c r="C70" s="50" t="s">
        <v>284</v>
      </c>
      <c r="D70" s="33">
        <v>1</v>
      </c>
      <c r="E70" s="32"/>
      <c r="F70" s="74"/>
      <c r="G70" s="75"/>
      <c r="H70" s="75"/>
      <c r="I70" s="75"/>
      <c r="J70" s="75"/>
      <c r="K70" s="76"/>
    </row>
    <row r="71" spans="1:11" x14ac:dyDescent="0.3">
      <c r="A71" s="47" t="s">
        <v>312</v>
      </c>
      <c r="B71" s="33">
        <v>3</v>
      </c>
      <c r="C71" s="50" t="s">
        <v>324</v>
      </c>
      <c r="D71" s="33">
        <v>3</v>
      </c>
      <c r="E71" s="32"/>
    </row>
    <row r="73" spans="1:11" x14ac:dyDescent="0.3">
      <c r="A73" s="36">
        <v>1.4</v>
      </c>
      <c r="B73" s="36">
        <v>3</v>
      </c>
      <c r="C73" s="37" t="s">
        <v>320</v>
      </c>
      <c r="D73" s="36"/>
      <c r="E73" s="35" t="s">
        <v>235</v>
      </c>
      <c r="F73" s="36"/>
      <c r="G73" s="36"/>
      <c r="H73" s="36"/>
      <c r="I73" s="36"/>
      <c r="J73" s="35"/>
      <c r="K73" s="35">
        <f>SUM(K74:K78)+SUM(J74:J78)</f>
        <v>60.139999999999993</v>
      </c>
    </row>
    <row r="74" spans="1:11" x14ac:dyDescent="0.3">
      <c r="A74" s="47" t="s">
        <v>184</v>
      </c>
      <c r="B74" s="33">
        <v>4</v>
      </c>
      <c r="C74" s="34"/>
      <c r="D74" s="33">
        <v>22</v>
      </c>
      <c r="E74" s="32">
        <v>7.21</v>
      </c>
      <c r="F74" s="33" t="s">
        <v>240</v>
      </c>
      <c r="G74" s="45" t="s">
        <v>321</v>
      </c>
      <c r="H74" s="63">
        <v>46237</v>
      </c>
      <c r="I74" s="33">
        <v>1</v>
      </c>
      <c r="J74" s="66">
        <v>5.87</v>
      </c>
      <c r="K74" s="32">
        <f>I74*E74</f>
        <v>7.21</v>
      </c>
    </row>
    <row r="75" spans="1:11" x14ac:dyDescent="0.3">
      <c r="A75" s="54"/>
      <c r="B75" s="54"/>
      <c r="C75" s="55"/>
      <c r="D75" s="54"/>
      <c r="E75" s="56"/>
      <c r="F75" s="54"/>
      <c r="G75" s="54"/>
      <c r="H75" s="58"/>
      <c r="I75" s="54"/>
      <c r="J75" s="67"/>
      <c r="K75" s="56"/>
    </row>
    <row r="76" spans="1:11" ht="28.8" x14ac:dyDescent="0.3">
      <c r="A76" s="47" t="s">
        <v>182</v>
      </c>
      <c r="B76" s="33">
        <v>4</v>
      </c>
      <c r="C76" s="34"/>
      <c r="D76" s="33">
        <v>44</v>
      </c>
      <c r="E76" s="32">
        <v>12.99</v>
      </c>
      <c r="F76" s="53" t="s">
        <v>289</v>
      </c>
      <c r="G76" s="46" t="s">
        <v>322</v>
      </c>
      <c r="H76" s="63">
        <v>46237</v>
      </c>
      <c r="I76" s="33">
        <v>3</v>
      </c>
      <c r="J76" s="68"/>
      <c r="K76" s="32">
        <f>I76*E76</f>
        <v>38.97</v>
      </c>
    </row>
    <row r="77" spans="1:11" ht="28.8" x14ac:dyDescent="0.3">
      <c r="A77" s="47" t="s">
        <v>179</v>
      </c>
      <c r="B77" s="33">
        <v>4</v>
      </c>
      <c r="C77" s="34"/>
      <c r="D77" s="33">
        <v>4</v>
      </c>
      <c r="E77" s="32">
        <v>8.09</v>
      </c>
      <c r="F77" s="53" t="s">
        <v>318</v>
      </c>
      <c r="G77" s="46" t="s">
        <v>323</v>
      </c>
      <c r="H77" s="63">
        <v>46237</v>
      </c>
      <c r="I77" s="33">
        <v>1</v>
      </c>
      <c r="J77" s="68"/>
      <c r="K77" s="32">
        <f t="shared" ref="K77:K78" si="4">I77*E77</f>
        <v>8.09</v>
      </c>
    </row>
    <row r="78" spans="1:11" x14ac:dyDescent="0.3">
      <c r="A78" s="47"/>
      <c r="B78" s="33"/>
      <c r="C78" s="34"/>
      <c r="D78" s="33"/>
      <c r="E78" s="32"/>
      <c r="F78" s="53"/>
      <c r="G78" s="46"/>
      <c r="H78" s="63"/>
      <c r="I78" s="33"/>
      <c r="J78" s="68"/>
      <c r="K78" s="32">
        <f t="shared" si="4"/>
        <v>0</v>
      </c>
    </row>
    <row r="90" ht="15" customHeight="1" x14ac:dyDescent="0.3"/>
  </sheetData>
  <mergeCells count="14">
    <mergeCell ref="E22:E23"/>
    <mergeCell ref="K52:K53"/>
    <mergeCell ref="F28:K40"/>
    <mergeCell ref="F58:K70"/>
    <mergeCell ref="J42:J56"/>
    <mergeCell ref="E52:E53"/>
    <mergeCell ref="G52:G53"/>
    <mergeCell ref="H52:H53"/>
    <mergeCell ref="I52:I53"/>
    <mergeCell ref="K22:K23"/>
    <mergeCell ref="J12:J26"/>
    <mergeCell ref="H22:H23"/>
    <mergeCell ref="G22:G23"/>
    <mergeCell ref="I22:I23"/>
  </mergeCells>
  <phoneticPr fontId="13" type="noConversion"/>
  <hyperlinks>
    <hyperlink ref="G7" r:id="rId1" xr:uid="{8091DB70-558E-4592-B9B4-38004DC7FBB7}"/>
    <hyperlink ref="G6" r:id="rId2" xr:uid="{F7F75BD6-DB10-4AC2-8841-880D0CC3617B}"/>
    <hyperlink ref="G5" r:id="rId3" xr:uid="{279313D3-1F5C-43AF-9B3D-757C7867AE3E}"/>
    <hyperlink ref="G4" r:id="rId4" xr:uid="{B4D6F187-CB3D-4341-91C2-50FA0284B7B9}"/>
    <hyperlink ref="G15" r:id="rId5" xr:uid="{CB15E97A-CE83-44D6-82C3-DF5BB60E4804}"/>
    <hyperlink ref="G16" r:id="rId6" xr:uid="{F4F3F6BE-7691-42BB-8AD9-FC215EC5A9EB}"/>
    <hyperlink ref="G18" r:id="rId7" xr:uid="{490592CB-759D-43DE-B1A2-208282D5996C}"/>
    <hyperlink ref="G19" r:id="rId8" xr:uid="{5DF8CFDD-7940-473E-A87F-DADA18BF04F0}"/>
    <hyperlink ref="G14" r:id="rId9" xr:uid="{72E845C8-3CF7-483D-A4A6-1A20CBED3C93}"/>
    <hyperlink ref="G12" r:id="rId10" xr:uid="{C64245B6-E24B-46B9-854D-A533B6A984F0}"/>
    <hyperlink ref="G25" r:id="rId11" xr:uid="{71953ECA-F332-45BA-A578-4C4B7FEF587E}"/>
    <hyperlink ref="G26" r:id="rId12" xr:uid="{DEBF1BA2-46DF-49AD-9E35-D39C010E82A9}"/>
    <hyperlink ref="G21" r:id="rId13" xr:uid="{1412C55E-6A1A-4053-A18E-D6A0EE5D9AF0}"/>
    <hyperlink ref="G10" r:id="rId14" xr:uid="{BB939D89-68F1-407A-8961-161DEA665F6A}"/>
    <hyperlink ref="G48" r:id="rId15" xr:uid="{CF4E87A8-2CD6-44E7-B022-0B1B179E9C9B}"/>
    <hyperlink ref="G49" r:id="rId16" xr:uid="{E7EE2972-5E2C-4E50-B232-CF0017396C34}"/>
    <hyperlink ref="G44" r:id="rId17" xr:uid="{3BE946ED-0C3E-4843-8774-E4F93E18E598}"/>
    <hyperlink ref="G42" r:id="rId18" xr:uid="{F408121A-1D17-44CD-9FA6-54DD50AB9900}"/>
    <hyperlink ref="G55" r:id="rId19" xr:uid="{FEA4F571-F1A3-49CD-8ADA-35A12B26F775}"/>
    <hyperlink ref="G56" r:id="rId20" xr:uid="{F758FAF3-7978-4F47-B4FF-CA876A9FFDA1}"/>
    <hyperlink ref="G45" r:id="rId21" xr:uid="{5E52BE69-7A7F-4A75-A558-F821970562D3}"/>
    <hyperlink ref="G51" r:id="rId22" xr:uid="{181C5DE6-9473-4241-B12C-D25DC1804061}"/>
    <hyperlink ref="G54" r:id="rId23" xr:uid="{19AC5AEB-C68E-4393-AAB8-3C0E0C06A444}"/>
    <hyperlink ref="G46" r:id="rId24" xr:uid="{B027617C-3F89-419E-A842-31851D15B3A1}"/>
    <hyperlink ref="G9" r:id="rId25" xr:uid="{0C670866-C934-4719-A79D-80B26BA422F7}"/>
    <hyperlink ref="G74" r:id="rId26" xr:uid="{13FED848-D9FE-497A-98DD-D8063464CEB6}"/>
  </hyperlinks>
  <pageMargins left="0.7" right="0.7" top="0.75" bottom="0.75" header="0.3" footer="0.3"/>
  <pageSetup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Torque Budget</vt:lpstr>
      <vt:lpstr>Timeline</vt:lpstr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Ethan Oh</cp:lastModifiedBy>
  <cp:revision>0</cp:revision>
  <dcterms:created xsi:type="dcterms:W3CDTF">2026-07-11T00:43:21Z</dcterms:created>
  <dcterms:modified xsi:type="dcterms:W3CDTF">2026-09-07T23:28:47Z</dcterms:modified>
  <dc:language>en-US</dc:language>
</cp:coreProperties>
</file>